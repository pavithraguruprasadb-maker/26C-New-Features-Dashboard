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/Users/ruchbhatn/Downloads/"/>
    </mc:Choice>
  </mc:AlternateContent>
  <xr:revisionPtr revIDLastSave="0" documentId="8_{94CDA549-E2A1-41D9-833D-CFCE46345C0D}" xr6:coauthVersionLast="47" xr6:coauthVersionMax="47" xr10:uidLastSave="{00000000-0000-0000-0000-000000000000}"/>
  <bookViews>
    <workbookView xWindow="4680" yWindow="660" windowWidth="33720" windowHeight="19360" firstSheet="5" activeTab="5" xr2:uid="{A2D5EDCE-09CB-FA41-A592-E9AB1D60DC9A}"/>
  </bookViews>
  <sheets>
    <sheet name="CDLs Weekly Tracking" sheetId="7" state="hidden" r:id="rId1"/>
    <sheet name="Projects List" sheetId="8" state="hidden" r:id="rId2"/>
    <sheet name="Sheet1" sheetId="6" state="hidden" r:id="rId3"/>
    <sheet name="HCM" sheetId="15" r:id="rId4"/>
    <sheet name="SCM" sheetId="5" r:id="rId5"/>
    <sheet name="ERP" sheetId="13" r:id="rId6"/>
    <sheet name="CX" sheetId="14" r:id="rId7"/>
    <sheet name="EPM" sheetId="16" r:id="rId8"/>
    <sheet name="2026 Working Days" sheetId="17" state="hidden" r:id="rId9"/>
  </sheets>
  <definedNames>
    <definedName name="_xlnm._FilterDatabase" localSheetId="0" hidden="1">'CDLs Weekly Tracking'!$A$1:$CN$27</definedName>
    <definedName name="_xlnm._FilterDatabase" localSheetId="4" hidden="1">SCM!$A$2:$AG$9</definedName>
    <definedName name="_xlnm._FilterDatabase" localSheetId="5" hidden="1">ERP!$A$2:$AG$8</definedName>
    <definedName name="_xlnm._FilterDatabase" localSheetId="3" hidden="1">HCM!$A$1:$LR$10</definedName>
    <definedName name="_xlnm._FilterDatabase" localSheetId="6" hidden="1">CX!$A$2:$BB$6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" i="14" l="1"/>
  <c r="CS1" i="14" s="1"/>
  <c r="CT1" i="14" s="1"/>
  <c r="CU1" i="14" s="1"/>
  <c r="CV1" i="14" s="1"/>
  <c r="CW1" i="14" s="1"/>
  <c r="CX1" i="14" s="1"/>
  <c r="CY1" i="14" s="1"/>
  <c r="CZ1" i="14" s="1"/>
  <c r="DA1" i="14" s="1"/>
  <c r="DB1" i="14" s="1"/>
  <c r="DC1" i="14" s="1"/>
  <c r="DD1" i="14" s="1"/>
  <c r="DE1" i="14" s="1"/>
  <c r="DF1" i="14" s="1"/>
  <c r="DG1" i="14" s="1"/>
  <c r="DH1" i="14" s="1"/>
  <c r="DI1" i="14" s="1"/>
  <c r="DJ1" i="14" s="1"/>
  <c r="DK1" i="14" s="1"/>
  <c r="DL1" i="14" s="1"/>
  <c r="DM1" i="14" s="1"/>
  <c r="DN1" i="14" s="1"/>
  <c r="DO1" i="14" s="1"/>
  <c r="DP1" i="14" s="1"/>
  <c r="DQ1" i="14" s="1"/>
  <c r="DR1" i="14" s="1"/>
  <c r="DS1" i="14" s="1"/>
  <c r="DT1" i="14" s="1"/>
  <c r="DU1" i="14" s="1"/>
  <c r="DV1" i="14" s="1"/>
  <c r="DW1" i="14" s="1"/>
  <c r="DX1" i="14" s="1"/>
  <c r="DY1" i="14" s="1"/>
  <c r="DZ1" i="14" s="1"/>
  <c r="EA1" i="14" s="1"/>
  <c r="EB1" i="14" s="1"/>
  <c r="EC1" i="14" s="1"/>
  <c r="ED1" i="14" s="1"/>
  <c r="EE1" i="14" s="1"/>
  <c r="EF1" i="14" s="1"/>
  <c r="EG1" i="14" s="1"/>
  <c r="EH1" i="14" s="1"/>
  <c r="EI1" i="14" s="1"/>
  <c r="EJ1" i="14" s="1"/>
  <c r="EK1" i="14" s="1"/>
  <c r="EL1" i="14" s="1"/>
  <c r="EM1" i="14" s="1"/>
  <c r="EN1" i="14" s="1"/>
  <c r="EO1" i="14" s="1"/>
  <c r="EP1" i="14" s="1"/>
  <c r="EQ1" i="14" s="1"/>
  <c r="ER1" i="14" s="1"/>
  <c r="ES1" i="14" s="1"/>
  <c r="ET1" i="14" s="1"/>
  <c r="EU1" i="14" s="1"/>
  <c r="EV1" i="14" s="1"/>
  <c r="EW1" i="14" s="1"/>
  <c r="EX1" i="14" s="1"/>
  <c r="EY1" i="14" s="1"/>
  <c r="EZ1" i="14" s="1"/>
  <c r="FA1" i="14" s="1"/>
  <c r="FB1" i="14" s="1"/>
  <c r="FC1" i="14" s="1"/>
  <c r="FD1" i="14" s="1"/>
  <c r="FE1" i="14" s="1"/>
  <c r="FF1" i="14" s="1"/>
  <c r="FG1" i="14" s="1"/>
  <c r="FH1" i="14" s="1"/>
  <c r="FI1" i="14" s="1"/>
  <c r="FJ1" i="14" s="1"/>
  <c r="FK1" i="14" s="1"/>
  <c r="FL1" i="14" s="1"/>
  <c r="FM1" i="14" s="1"/>
  <c r="FN1" i="14" s="1"/>
  <c r="FO1" i="14" s="1"/>
  <c r="FP1" i="14" s="1"/>
  <c r="FQ1" i="14" s="1"/>
  <c r="FR1" i="14" s="1"/>
  <c r="FS1" i="14" s="1"/>
  <c r="FT1" i="14" s="1"/>
  <c r="FU1" i="14" s="1"/>
  <c r="FV1" i="14" s="1"/>
  <c r="FW1" i="14" s="1"/>
  <c r="FX1" i="14" s="1"/>
  <c r="FY1" i="14" s="1"/>
  <c r="FZ1" i="14" s="1"/>
  <c r="GA1" i="14" s="1"/>
  <c r="GB1" i="14" s="1"/>
  <c r="GC1" i="14" s="1"/>
  <c r="GD1" i="14" s="1"/>
  <c r="GE1" i="14" s="1"/>
  <c r="GF1" i="14" s="1"/>
  <c r="GG1" i="14" s="1"/>
  <c r="GH1" i="14" s="1"/>
  <c r="GI1" i="14" s="1"/>
  <c r="GJ1" i="14" s="1"/>
  <c r="GK1" i="14" s="1"/>
  <c r="GL1" i="14" s="1"/>
  <c r="GM1" i="14" s="1"/>
  <c r="GN1" i="14" s="1"/>
  <c r="GO1" i="14" s="1"/>
  <c r="GP1" i="14" s="1"/>
  <c r="GQ1" i="14" s="1"/>
  <c r="GR1" i="14" s="1"/>
  <c r="GS1" i="14" s="1"/>
  <c r="GT1" i="14" s="1"/>
  <c r="GU1" i="14" s="1"/>
  <c r="GV1" i="14" s="1"/>
  <c r="GW1" i="14" s="1"/>
  <c r="GX1" i="14" s="1"/>
  <c r="GY1" i="14" s="1"/>
  <c r="GZ1" i="14" s="1"/>
  <c r="HA1" i="14" s="1"/>
  <c r="HB1" i="14" s="1"/>
  <c r="HC1" i="14" s="1"/>
  <c r="HD1" i="14" s="1"/>
  <c r="HE1" i="14" s="1"/>
  <c r="HF1" i="14" s="1"/>
  <c r="HG1" i="14" s="1"/>
  <c r="HH1" i="14" s="1"/>
  <c r="HI1" i="14" s="1"/>
  <c r="HJ1" i="14" s="1"/>
  <c r="HK1" i="14" s="1"/>
  <c r="HL1" i="14" s="1"/>
  <c r="HM1" i="14" s="1"/>
  <c r="HN1" i="14" s="1"/>
  <c r="HO1" i="14" s="1"/>
  <c r="HP1" i="14" s="1"/>
  <c r="HQ1" i="14" s="1"/>
  <c r="HR1" i="14" s="1"/>
  <c r="HS1" i="14" s="1"/>
  <c r="HT1" i="14" s="1"/>
  <c r="HU1" i="14" s="1"/>
  <c r="HV1" i="14" s="1"/>
  <c r="HW1" i="14" s="1"/>
  <c r="HX1" i="14" s="1"/>
  <c r="HY1" i="14" s="1"/>
  <c r="HZ1" i="14" s="1"/>
  <c r="IA1" i="14" s="1"/>
  <c r="IB1" i="14" s="1"/>
  <c r="IC1" i="14" s="1"/>
  <c r="ID1" i="14" s="1"/>
  <c r="IE1" i="14" s="1"/>
  <c r="IF1" i="14" s="1"/>
  <c r="IG1" i="14" s="1"/>
  <c r="IH1" i="14" s="1"/>
  <c r="II1" i="14" s="1"/>
  <c r="IJ1" i="14" s="1"/>
  <c r="IK1" i="14" s="1"/>
  <c r="IL1" i="14" s="1"/>
  <c r="IM1" i="14" s="1"/>
  <c r="IN1" i="14" s="1"/>
  <c r="IO1" i="14" s="1"/>
  <c r="IP1" i="14" s="1"/>
  <c r="IQ1" i="14" s="1"/>
  <c r="IR1" i="14" s="1"/>
  <c r="IS1" i="14" s="1"/>
  <c r="IT1" i="14" s="1"/>
  <c r="IU1" i="14" s="1"/>
  <c r="IV1" i="14" s="1"/>
  <c r="IW1" i="14" s="1"/>
  <c r="IX1" i="14" s="1"/>
  <c r="IY1" i="14" s="1"/>
  <c r="IZ1" i="14" s="1"/>
  <c r="JA1" i="14" s="1"/>
  <c r="JB1" i="14" s="1"/>
  <c r="JC1" i="14" s="1"/>
  <c r="JD1" i="14" s="1"/>
  <c r="JE1" i="14" s="1"/>
  <c r="JF1" i="14" s="1"/>
  <c r="JG1" i="14" s="1"/>
  <c r="JH1" i="14" s="1"/>
  <c r="JI1" i="14" s="1"/>
  <c r="JJ1" i="14" s="1"/>
  <c r="JK1" i="14" s="1"/>
  <c r="JL1" i="14" s="1"/>
  <c r="JM1" i="14" s="1"/>
  <c r="JN1" i="14" s="1"/>
  <c r="JO1" i="14" s="1"/>
  <c r="JP1" i="14" s="1"/>
  <c r="JQ1" i="14" s="1"/>
  <c r="JR1" i="14" s="1"/>
  <c r="JS1" i="14" s="1"/>
  <c r="JT1" i="14" s="1"/>
  <c r="JU1" i="14" s="1"/>
  <c r="JV1" i="14" s="1"/>
  <c r="JW1" i="14" s="1"/>
  <c r="JX1" i="14" s="1"/>
  <c r="JY1" i="14" s="1"/>
  <c r="JZ1" i="14" s="1"/>
  <c r="KA1" i="14" s="1"/>
  <c r="KB1" i="14" s="1"/>
  <c r="KC1" i="14" s="1"/>
  <c r="KD1" i="14" s="1"/>
  <c r="KE1" i="14" s="1"/>
  <c r="KF1" i="14" s="1"/>
  <c r="KG1" i="14" s="1"/>
  <c r="KH1" i="14" s="1"/>
  <c r="KI1" i="14" s="1"/>
  <c r="KJ1" i="14" s="1"/>
  <c r="KK1" i="14" s="1"/>
  <c r="KL1" i="14" s="1"/>
  <c r="KM1" i="14" s="1"/>
  <c r="KN1" i="14" s="1"/>
  <c r="KO1" i="14" s="1"/>
  <c r="KP1" i="14" s="1"/>
  <c r="KQ1" i="14" s="1"/>
  <c r="KR1" i="14" s="1"/>
  <c r="KS1" i="14" s="1"/>
  <c r="KT1" i="14" s="1"/>
  <c r="KU1" i="14" s="1"/>
  <c r="KV1" i="14" s="1"/>
  <c r="KW1" i="14" s="1"/>
  <c r="KX1" i="14" s="1"/>
  <c r="KY1" i="14" s="1"/>
  <c r="KZ1" i="14" s="1"/>
  <c r="LA1" i="14" s="1"/>
  <c r="LB1" i="14" s="1"/>
  <c r="Y1" i="16"/>
  <c r="Z1" i="16" s="1"/>
  <c r="AA1" i="16"/>
  <c r="AB1" i="16"/>
  <c r="AC1" i="16"/>
  <c r="AD1" i="16"/>
  <c r="AE1" i="16"/>
  <c r="AF1" i="16"/>
  <c r="AG1" i="16"/>
  <c r="AH1" i="16"/>
  <c r="AI1" i="16"/>
  <c r="AJ1" i="16"/>
  <c r="AK1" i="16"/>
  <c r="AL1" i="16"/>
  <c r="AM1" i="16"/>
  <c r="AN1" i="16"/>
  <c r="AO1" i="16"/>
  <c r="AP1" i="16"/>
  <c r="AQ1" i="16"/>
  <c r="AR1" i="16"/>
  <c r="AS1" i="16"/>
  <c r="AT1" i="16"/>
  <c r="AU1" i="16"/>
  <c r="AV1" i="16"/>
  <c r="AW1" i="16"/>
  <c r="AX1" i="16"/>
  <c r="AY1" i="16"/>
  <c r="AZ1" i="16"/>
  <c r="BA1" i="16"/>
  <c r="BB1" i="16"/>
  <c r="BC1" i="16"/>
  <c r="BD1" i="16"/>
  <c r="BE1" i="16"/>
  <c r="BF1" i="16"/>
  <c r="BG1" i="16"/>
  <c r="BH1" i="16"/>
  <c r="BI1" i="16"/>
  <c r="BJ1" i="16"/>
  <c r="BK1" i="16"/>
  <c r="BL1" i="16"/>
  <c r="BM1" i="16"/>
  <c r="BN1" i="16"/>
  <c r="BO1" i="16"/>
  <c r="BP1" i="16"/>
  <c r="BQ1" i="16"/>
  <c r="BR1" i="16"/>
  <c r="BS1" i="16"/>
  <c r="BT1" i="16"/>
  <c r="BU1" i="16"/>
  <c r="BV1" i="16"/>
  <c r="BW1" i="16"/>
  <c r="BX1" i="16"/>
  <c r="BY1" i="16"/>
  <c r="BZ1" i="16"/>
  <c r="CA1" i="16"/>
  <c r="CB1" i="16"/>
  <c r="CC1" i="16"/>
  <c r="CD1" i="16"/>
  <c r="CE1" i="16"/>
  <c r="CF1" i="16"/>
  <c r="CG1" i="16"/>
  <c r="CH1" i="16"/>
  <c r="CI1" i="16"/>
  <c r="CJ1" i="16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X1" i="16" s="1"/>
  <c r="CY1" i="16" s="1"/>
  <c r="CZ1" i="16" s="1"/>
  <c r="DA1" i="16" s="1"/>
  <c r="DB1" i="16" s="1"/>
  <c r="DC1" i="16" s="1"/>
  <c r="DD1" i="16" s="1"/>
  <c r="DE1" i="16" s="1"/>
  <c r="DF1" i="16" s="1"/>
  <c r="DG1" i="16" s="1"/>
  <c r="DH1" i="16" s="1"/>
  <c r="DI1" i="16" s="1"/>
  <c r="DJ1" i="16" s="1"/>
  <c r="DK1" i="16" s="1"/>
  <c r="DL1" i="16" s="1"/>
  <c r="DM1" i="16" s="1"/>
  <c r="DN1" i="16" s="1"/>
  <c r="DO1" i="16" s="1"/>
  <c r="DP1" i="16" s="1"/>
  <c r="DQ1" i="16" s="1"/>
  <c r="DR1" i="16" s="1"/>
  <c r="DS1" i="16" s="1"/>
  <c r="DT1" i="16" s="1"/>
  <c r="DU1" i="16" s="1"/>
  <c r="DV1" i="16" s="1"/>
  <c r="DW1" i="16" s="1"/>
  <c r="DX1" i="16" s="1"/>
  <c r="DY1" i="16" s="1"/>
  <c r="DZ1" i="16" s="1"/>
  <c r="EA1" i="16" s="1"/>
  <c r="EB1" i="16" s="1"/>
  <c r="EC1" i="16" s="1"/>
  <c r="ED1" i="16" s="1"/>
  <c r="EE1" i="16" s="1"/>
  <c r="EF1" i="16" s="1"/>
  <c r="EG1" i="16" s="1"/>
  <c r="EH1" i="16" s="1"/>
  <c r="EI1" i="16" s="1"/>
  <c r="EJ1" i="16" s="1"/>
  <c r="EK1" i="16" s="1"/>
  <c r="EL1" i="16" s="1"/>
  <c r="EM1" i="16" s="1"/>
  <c r="EN1" i="16" s="1"/>
  <c r="EO1" i="16" s="1"/>
  <c r="EP1" i="16" s="1"/>
  <c r="EQ1" i="16" s="1"/>
  <c r="ER1" i="16" s="1"/>
  <c r="ES1" i="16" s="1"/>
  <c r="ET1" i="16" s="1"/>
  <c r="EU1" i="16" s="1"/>
  <c r="EV1" i="16" s="1"/>
  <c r="EW1" i="16" s="1"/>
  <c r="EX1" i="16" s="1"/>
  <c r="EY1" i="16" s="1"/>
  <c r="EZ1" i="16" s="1"/>
  <c r="FA1" i="16" s="1"/>
  <c r="FB1" i="16" s="1"/>
  <c r="FC1" i="16" s="1"/>
  <c r="FD1" i="16" s="1"/>
  <c r="FE1" i="16" s="1"/>
  <c r="FF1" i="16" s="1"/>
  <c r="FG1" i="16" s="1"/>
  <c r="FH1" i="16" s="1"/>
  <c r="FI1" i="16" s="1"/>
  <c r="FJ1" i="16" s="1"/>
  <c r="FK1" i="16" s="1"/>
  <c r="FL1" i="16" s="1"/>
  <c r="FM1" i="16" s="1"/>
  <c r="FN1" i="16" s="1"/>
  <c r="FO1" i="16" s="1"/>
  <c r="FP1" i="16" s="1"/>
  <c r="FQ1" i="16" s="1"/>
  <c r="FR1" i="16" s="1"/>
  <c r="FS1" i="16" s="1"/>
  <c r="FT1" i="16" s="1"/>
  <c r="FU1" i="16" s="1"/>
  <c r="FV1" i="16" s="1"/>
  <c r="FW1" i="16" s="1"/>
  <c r="FX1" i="16" s="1"/>
  <c r="FY1" i="16" s="1"/>
  <c r="FZ1" i="16" s="1"/>
  <c r="GA1" i="16" s="1"/>
  <c r="GB1" i="16" s="1"/>
  <c r="GC1" i="16" s="1"/>
  <c r="GD1" i="16" s="1"/>
  <c r="GE1" i="16" s="1"/>
  <c r="GF1" i="16" s="1"/>
  <c r="GG1" i="16" s="1"/>
  <c r="GH1" i="16" s="1"/>
  <c r="GI1" i="16" s="1"/>
  <c r="GJ1" i="16" s="1"/>
  <c r="GK1" i="16" s="1"/>
  <c r="GL1" i="16" s="1"/>
  <c r="GM1" i="16" s="1"/>
  <c r="GN1" i="16" s="1"/>
  <c r="GO1" i="16" s="1"/>
  <c r="GP1" i="16" s="1"/>
  <c r="GQ1" i="16" s="1"/>
  <c r="GR1" i="16" s="1"/>
  <c r="GS1" i="16" s="1"/>
  <c r="GT1" i="16" s="1"/>
  <c r="GU1" i="16" s="1"/>
  <c r="GV1" i="16" s="1"/>
  <c r="GW1" i="16" s="1"/>
  <c r="GX1" i="16" s="1"/>
  <c r="GY1" i="16" s="1"/>
  <c r="GZ1" i="16" s="1"/>
  <c r="HA1" i="16" s="1"/>
  <c r="HB1" i="16" s="1"/>
  <c r="HC1" i="16" s="1"/>
  <c r="HD1" i="16" s="1"/>
  <c r="HE1" i="16" s="1"/>
  <c r="HF1" i="16" s="1"/>
  <c r="HG1" i="16" s="1"/>
  <c r="HH1" i="16" s="1"/>
  <c r="HI1" i="16" s="1"/>
  <c r="HJ1" i="16" s="1"/>
  <c r="HK1" i="16" s="1"/>
  <c r="HL1" i="16" s="1"/>
  <c r="HM1" i="16" s="1"/>
  <c r="HN1" i="16" s="1"/>
  <c r="HO1" i="16" s="1"/>
  <c r="HP1" i="16" s="1"/>
  <c r="HQ1" i="16" s="1"/>
  <c r="HR1" i="16" s="1"/>
  <c r="HS1" i="16" s="1"/>
  <c r="HT1" i="16" s="1"/>
  <c r="HU1" i="16" s="1"/>
  <c r="HV1" i="16" s="1"/>
  <c r="HW1" i="16" s="1"/>
  <c r="HX1" i="16" s="1"/>
  <c r="HY1" i="16" s="1"/>
  <c r="HZ1" i="16" s="1"/>
  <c r="IA1" i="16" s="1"/>
  <c r="IB1" i="16" s="1"/>
  <c r="IC1" i="16" s="1"/>
  <c r="ID1" i="16" s="1"/>
  <c r="IE1" i="16" s="1"/>
  <c r="IF1" i="16" s="1"/>
  <c r="IG1" i="16" s="1"/>
  <c r="IH1" i="16" s="1"/>
  <c r="II1" i="16" s="1"/>
  <c r="IJ1" i="16" s="1"/>
  <c r="IK1" i="16" s="1"/>
  <c r="IL1" i="16" s="1"/>
  <c r="IM1" i="16" s="1"/>
  <c r="IN1" i="16" s="1"/>
  <c r="IO1" i="16" s="1"/>
  <c r="IP1" i="16" s="1"/>
  <c r="IQ1" i="16" s="1"/>
  <c r="IR1" i="16" s="1"/>
  <c r="IS1" i="16" s="1"/>
  <c r="IT1" i="16" s="1"/>
  <c r="IU1" i="16" s="1"/>
  <c r="IV1" i="16" s="1"/>
  <c r="IW1" i="16" s="1"/>
  <c r="IX1" i="16" s="1"/>
  <c r="IY1" i="16" s="1"/>
  <c r="IZ1" i="16" s="1"/>
  <c r="JA1" i="16" s="1"/>
  <c r="JB1" i="16" s="1"/>
  <c r="JC1" i="16" s="1"/>
  <c r="JD1" i="16" s="1"/>
  <c r="JE1" i="16" s="1"/>
  <c r="JF1" i="16" s="1"/>
  <c r="JG1" i="16" s="1"/>
  <c r="JH1" i="16" s="1"/>
  <c r="JI1" i="16" s="1"/>
  <c r="JJ1" i="16" s="1"/>
  <c r="JK1" i="16" s="1"/>
  <c r="JL1" i="16" s="1"/>
  <c r="JM1" i="16" s="1"/>
  <c r="JN1" i="16" s="1"/>
  <c r="JO1" i="16" s="1"/>
  <c r="JP1" i="16" s="1"/>
  <c r="JQ1" i="16" s="1"/>
  <c r="JR1" i="16" s="1"/>
  <c r="JS1" i="16" s="1"/>
  <c r="JT1" i="16" s="1"/>
  <c r="JU1" i="16" s="1"/>
  <c r="JV1" i="16" s="1"/>
  <c r="JW1" i="16" s="1"/>
  <c r="JX1" i="16" s="1"/>
  <c r="JY1" i="16" s="1"/>
  <c r="JZ1" i="16" s="1"/>
  <c r="KA1" i="16" s="1"/>
  <c r="KB1" i="16" s="1"/>
  <c r="KC1" i="16" s="1"/>
  <c r="KD1" i="16" s="1"/>
  <c r="KE1" i="16" s="1"/>
  <c r="KF1" i="16" s="1"/>
  <c r="KG1" i="16" s="1"/>
  <c r="KH1" i="16" s="1"/>
  <c r="KI1" i="16" s="1"/>
  <c r="KJ1" i="16" s="1"/>
  <c r="KK1" i="16" s="1"/>
  <c r="KL1" i="16" s="1"/>
  <c r="KM1" i="16" s="1"/>
  <c r="KN1" i="16" s="1"/>
  <c r="KO1" i="16" s="1"/>
  <c r="KP1" i="16" s="1"/>
  <c r="KQ1" i="16" s="1"/>
  <c r="KR1" i="16" s="1"/>
  <c r="KS1" i="16" s="1"/>
  <c r="KT1" i="16" s="1"/>
  <c r="KU1" i="16" s="1"/>
  <c r="KV1" i="16" s="1"/>
  <c r="KW1" i="16" s="1"/>
  <c r="KX1" i="16" s="1"/>
  <c r="KY1" i="16" s="1"/>
  <c r="KZ1" i="16" s="1"/>
  <c r="LA1" i="16" s="1"/>
  <c r="LB1" i="16" s="1"/>
  <c r="LC1" i="16" s="1"/>
  <c r="LD1" i="16" s="1"/>
  <c r="LE1" i="16" s="1"/>
  <c r="LF1" i="16" s="1"/>
  <c r="LG1" i="16" s="1"/>
  <c r="LH1" i="16" s="1"/>
  <c r="LI1" i="16" s="1"/>
  <c r="LJ1" i="16" s="1"/>
  <c r="LK1" i="16" s="1"/>
  <c r="LL1" i="16" s="1"/>
  <c r="LM1" i="16" s="1"/>
  <c r="LN1" i="16" s="1"/>
  <c r="LO1" i="16" s="1"/>
  <c r="LP1" i="16" s="1"/>
  <c r="LQ1" i="16" s="1"/>
  <c r="LR1" i="16" s="1"/>
  <c r="LS1" i="16" s="1"/>
  <c r="CP1" i="15"/>
  <c r="CK1" i="15"/>
  <c r="CL1" i="15" s="1"/>
  <c r="CM1" i="15" s="1"/>
  <c r="CN1" i="15" s="1"/>
  <c r="CF1" i="15"/>
  <c r="CG1" i="15" s="1"/>
  <c r="CH1" i="15" s="1"/>
  <c r="CI1" i="15" s="1"/>
  <c r="CA1" i="15"/>
  <c r="CB1" i="15" s="1"/>
  <c r="CC1" i="15" s="1"/>
  <c r="CD1" i="15" s="1"/>
  <c r="BV1" i="15"/>
  <c r="BW1" i="15" s="1"/>
  <c r="BX1" i="15" s="1"/>
  <c r="BY1" i="15" s="1"/>
  <c r="BQ1" i="15"/>
  <c r="BR1" i="15" s="1"/>
  <c r="BS1" i="15" s="1"/>
  <c r="BT1" i="15" s="1"/>
  <c r="BL1" i="15"/>
  <c r="BM1" i="15" s="1"/>
  <c r="BN1" i="15" s="1"/>
  <c r="BO1" i="15" s="1"/>
  <c r="AX1" i="14"/>
  <c r="AU1" i="14"/>
  <c r="AV1" i="14"/>
  <c r="AW1" i="14"/>
  <c r="B2" i="16"/>
  <c r="C1" i="16"/>
  <c r="C2" i="14"/>
  <c r="D2" i="14" s="1"/>
  <c r="E2" i="14" s="1"/>
  <c r="F2" i="14" s="1"/>
  <c r="C1" i="14"/>
  <c r="D1" i="14" s="1"/>
  <c r="E1" i="14" s="1"/>
  <c r="F1" i="14" s="1"/>
  <c r="G1" i="14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1" i="5" s="1"/>
  <c r="BG1" i="5" s="1"/>
  <c r="BH1" i="5" s="1"/>
  <c r="BI1" i="5" s="1"/>
  <c r="BJ1" i="5" s="1"/>
  <c r="BK1" i="5" s="1"/>
  <c r="BL1" i="5" s="1"/>
  <c r="BM1" i="5" s="1"/>
  <c r="BN1" i="5" s="1"/>
  <c r="BO1" i="5" s="1"/>
  <c r="BP1" i="5" s="1"/>
  <c r="BQ1" i="5" s="1"/>
  <c r="AS1" i="13" l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CY1" i="13" s="1"/>
  <c r="CZ1" i="13" s="1"/>
  <c r="DA1" i="13" s="1"/>
  <c r="DB1" i="13" s="1"/>
  <c r="DC1" i="13" s="1"/>
  <c r="DD1" i="13" s="1"/>
  <c r="DE1" i="13" s="1"/>
  <c r="DF1" i="13" s="1"/>
  <c r="DG1" i="13" s="1"/>
  <c r="DH1" i="13" s="1"/>
  <c r="DI1" i="13" s="1"/>
  <c r="DJ1" i="13" s="1"/>
  <c r="DK1" i="13" s="1"/>
  <c r="DL1" i="13" s="1"/>
  <c r="DM1" i="13" s="1"/>
  <c r="DN1" i="13" s="1"/>
  <c r="DO1" i="13" s="1"/>
  <c r="DP1" i="13" s="1"/>
  <c r="DQ1" i="13" s="1"/>
  <c r="DR1" i="13" s="1"/>
  <c r="DS1" i="13" s="1"/>
  <c r="DT1" i="13" s="1"/>
  <c r="DU1" i="13" s="1"/>
  <c r="DV1" i="13" s="1"/>
  <c r="DW1" i="13" s="1"/>
  <c r="DX1" i="13" s="1"/>
  <c r="DY1" i="13" s="1"/>
  <c r="DZ1" i="13" s="1"/>
  <c r="EA1" i="13" s="1"/>
  <c r="EB1" i="13" s="1"/>
  <c r="EC1" i="13" s="1"/>
  <c r="ED1" i="13" s="1"/>
  <c r="EE1" i="13" s="1"/>
  <c r="EF1" i="13" s="1"/>
  <c r="EG1" i="13" s="1"/>
  <c r="EH1" i="13" s="1"/>
  <c r="EI1" i="13" s="1"/>
  <c r="EJ1" i="13" s="1"/>
  <c r="EK1" i="13" s="1"/>
  <c r="EL1" i="13" s="1"/>
  <c r="EM1" i="13" s="1"/>
  <c r="EN1" i="13" s="1"/>
  <c r="EO1" i="13" s="1"/>
  <c r="EP1" i="13" s="1"/>
  <c r="EQ1" i="13" s="1"/>
  <c r="ER1" i="13" s="1"/>
  <c r="ES1" i="13" s="1"/>
  <c r="ET1" i="13" s="1"/>
  <c r="EU1" i="13" s="1"/>
  <c r="EV1" i="13" s="1"/>
  <c r="EW1" i="13" s="1"/>
  <c r="EX1" i="13" s="1"/>
  <c r="EY1" i="13" s="1"/>
  <c r="EZ1" i="13" s="1"/>
  <c r="FA1" i="13" s="1"/>
  <c r="FB1" i="13" s="1"/>
  <c r="FC1" i="13" s="1"/>
  <c r="FD1" i="13" s="1"/>
  <c r="FE1" i="13" s="1"/>
  <c r="FF1" i="13" s="1"/>
  <c r="FG1" i="13" s="1"/>
  <c r="FH1" i="13" s="1"/>
  <c r="FI1" i="13" s="1"/>
  <c r="FJ1" i="13" s="1"/>
  <c r="FK1" i="13" s="1"/>
  <c r="FL1" i="13" s="1"/>
  <c r="FM1" i="13" s="1"/>
  <c r="FN1" i="13" s="1"/>
  <c r="FO1" i="13" s="1"/>
  <c r="FP1" i="13" s="1"/>
  <c r="FQ1" i="13" s="1"/>
  <c r="FR1" i="13" s="1"/>
  <c r="FS1" i="13" s="1"/>
  <c r="FT1" i="13" s="1"/>
  <c r="FU1" i="13" s="1"/>
  <c r="FV1" i="13" s="1"/>
  <c r="FW1" i="13" s="1"/>
  <c r="FX1" i="13" s="1"/>
  <c r="FY1" i="13" s="1"/>
  <c r="FZ1" i="13" s="1"/>
  <c r="GA1" i="13" s="1"/>
  <c r="GB1" i="13" s="1"/>
  <c r="GC1" i="13" s="1"/>
  <c r="GD1" i="13" s="1"/>
  <c r="GE1" i="13" s="1"/>
  <c r="GF1" i="13" s="1"/>
  <c r="GG1" i="13" s="1"/>
  <c r="GH1" i="13" s="1"/>
  <c r="GI1" i="13" s="1"/>
  <c r="GJ1" i="13" s="1"/>
  <c r="GK1" i="13" s="1"/>
  <c r="GL1" i="13" s="1"/>
  <c r="GM1" i="13" s="1"/>
  <c r="GN1" i="13" s="1"/>
  <c r="GO1" i="13" s="1"/>
  <c r="GP1" i="13" s="1"/>
  <c r="GQ1" i="13" s="1"/>
  <c r="GR1" i="13" s="1"/>
  <c r="GS1" i="13" s="1"/>
  <c r="GT1" i="13" s="1"/>
  <c r="GU1" i="13" s="1"/>
  <c r="GV1" i="13" s="1"/>
  <c r="GW1" i="13" s="1"/>
  <c r="GX1" i="13" s="1"/>
  <c r="GY1" i="13" s="1"/>
  <c r="GZ1" i="13" s="1"/>
  <c r="HA1" i="13" s="1"/>
  <c r="HB1" i="13" s="1"/>
  <c r="HC1" i="13" s="1"/>
  <c r="HD1" i="13" s="1"/>
  <c r="HE1" i="13" s="1"/>
  <c r="HF1" i="13" s="1"/>
  <c r="HG1" i="13" s="1"/>
  <c r="HH1" i="13" s="1"/>
  <c r="HI1" i="13" s="1"/>
  <c r="HJ1" i="13" s="1"/>
  <c r="HK1" i="13" s="1"/>
  <c r="HL1" i="13" s="1"/>
  <c r="HM1" i="13" s="1"/>
  <c r="HN1" i="13" s="1"/>
  <c r="HO1" i="13" s="1"/>
  <c r="HP1" i="13" s="1"/>
  <c r="HQ1" i="13" s="1"/>
  <c r="HR1" i="13" s="1"/>
  <c r="HS1" i="13" s="1"/>
  <c r="HT1" i="13" s="1"/>
  <c r="HU1" i="13" s="1"/>
  <c r="HV1" i="13" s="1"/>
  <c r="HW1" i="13" s="1"/>
  <c r="HX1" i="13" s="1"/>
  <c r="HY1" i="13" s="1"/>
  <c r="HZ1" i="13" s="1"/>
  <c r="IA1" i="13" s="1"/>
  <c r="IB1" i="13" s="1"/>
  <c r="IC1" i="13" s="1"/>
  <c r="ID1" i="13" s="1"/>
  <c r="IE1" i="13" s="1"/>
  <c r="IF1" i="13" s="1"/>
  <c r="IG1" i="13" s="1"/>
  <c r="IH1" i="13" s="1"/>
  <c r="II1" i="13" s="1"/>
  <c r="IJ1" i="13" s="1"/>
  <c r="IK1" i="13" s="1"/>
  <c r="IL1" i="13" s="1"/>
  <c r="IM1" i="13" s="1"/>
  <c r="IN1" i="13" s="1"/>
  <c r="IO1" i="13" s="1"/>
  <c r="IP1" i="13" s="1"/>
  <c r="IQ1" i="13" s="1"/>
  <c r="IR1" i="13" s="1"/>
  <c r="IS1" i="13" s="1"/>
  <c r="IT1" i="13" s="1"/>
  <c r="IU1" i="13" s="1"/>
  <c r="IV1" i="13" s="1"/>
  <c r="IW1" i="13" s="1"/>
  <c r="IX1" i="13" s="1"/>
  <c r="IY1" i="13" s="1"/>
  <c r="IZ1" i="13" s="1"/>
  <c r="JA1" i="13" s="1"/>
  <c r="JB1" i="13" s="1"/>
  <c r="JC1" i="13" s="1"/>
  <c r="JD1" i="13" s="1"/>
  <c r="JE1" i="13" s="1"/>
  <c r="JF1" i="13" s="1"/>
  <c r="JG1" i="13" s="1"/>
  <c r="JH1" i="13" s="1"/>
  <c r="JI1" i="13" s="1"/>
  <c r="JJ1" i="13" s="1"/>
  <c r="JK1" i="13" s="1"/>
  <c r="JL1" i="13" s="1"/>
  <c r="JM1" i="13" s="1"/>
  <c r="JN1" i="13" s="1"/>
  <c r="JO1" i="13" s="1"/>
  <c r="JP1" i="13" s="1"/>
  <c r="JQ1" i="13" s="1"/>
  <c r="JR1" i="13" s="1"/>
  <c r="JS1" i="13" s="1"/>
  <c r="JT1" i="13" s="1"/>
  <c r="JU1" i="13" s="1"/>
  <c r="JV1" i="13" s="1"/>
  <c r="JW1" i="13" s="1"/>
  <c r="JX1" i="13" s="1"/>
  <c r="CU1" i="15"/>
  <c r="CZ1" i="15" s="1"/>
  <c r="DE1" i="15" s="1"/>
  <c r="DJ1" i="15" s="1"/>
  <c r="DO1" i="15" s="1"/>
  <c r="DT1" i="15" s="1"/>
  <c r="DY1" i="15" s="1"/>
  <c r="ED1" i="15" s="1"/>
  <c r="EI1" i="15" s="1"/>
  <c r="EN1" i="15" s="1"/>
  <c r="ES1" i="15" s="1"/>
  <c r="EX1" i="15" s="1"/>
  <c r="FC1" i="15" s="1"/>
  <c r="FH1" i="15" s="1"/>
  <c r="FM1" i="15" s="1"/>
  <c r="FR1" i="15" s="1"/>
  <c r="FW1" i="15" s="1"/>
  <c r="GB1" i="15" s="1"/>
  <c r="GG1" i="15" s="1"/>
  <c r="GL1" i="15" s="1"/>
  <c r="GQ1" i="15" s="1"/>
  <c r="GV1" i="15" s="1"/>
  <c r="HA1" i="15" s="1"/>
  <c r="HF1" i="15" s="1"/>
  <c r="HK1" i="15" s="1"/>
  <c r="HP1" i="15" s="1"/>
  <c r="HU1" i="15" s="1"/>
  <c r="HZ1" i="15" s="1"/>
  <c r="IE1" i="15" s="1"/>
  <c r="CQ1" i="15"/>
  <c r="C2" i="16"/>
  <c r="D1" i="16"/>
  <c r="H1" i="14"/>
  <c r="G2" i="14"/>
  <c r="BR1" i="5"/>
  <c r="BS1" i="5" s="1"/>
  <c r="BT1" i="5" s="1"/>
  <c r="BU1" i="5" s="1"/>
  <c r="BV1" i="5" s="1"/>
  <c r="BW1" i="5" s="1"/>
  <c r="BX1" i="5" s="1"/>
  <c r="BY1" i="5" s="1"/>
  <c r="BZ1" i="5" s="1"/>
  <c r="CA1" i="5" s="1"/>
  <c r="CB1" i="5" s="1"/>
  <c r="CC1" i="5" s="1"/>
  <c r="CD1" i="5" s="1"/>
  <c r="CE1" i="5" s="1"/>
  <c r="CF1" i="5" s="1"/>
  <c r="CG1" i="5" s="1"/>
  <c r="CH1" i="5" s="1"/>
  <c r="CI1" i="5" s="1"/>
  <c r="CJ1" i="5" s="1"/>
  <c r="CK1" i="5" s="1"/>
  <c r="CL1" i="5" s="1"/>
  <c r="CM1" i="5" s="1"/>
  <c r="CN1" i="5" s="1"/>
  <c r="CO1" i="5" s="1"/>
  <c r="CP1" i="5" s="1"/>
  <c r="CQ1" i="5" s="1"/>
  <c r="CR1" i="5" s="1"/>
  <c r="JY1" i="13" l="1"/>
  <c r="JZ1" i="13" s="1"/>
  <c r="KA1" i="13" s="1"/>
  <c r="KB1" i="13" s="1"/>
  <c r="KC1" i="13" s="1"/>
  <c r="KD1" i="13" s="1"/>
  <c r="KE1" i="13" s="1"/>
  <c r="KF1" i="13" s="1"/>
  <c r="KG1" i="13" s="1"/>
  <c r="KH1" i="13" s="1"/>
  <c r="KI1" i="13" s="1"/>
  <c r="KJ1" i="13" s="1"/>
  <c r="KK1" i="13" s="1"/>
  <c r="KL1" i="13" s="1"/>
  <c r="KM1" i="13" s="1"/>
  <c r="KN1" i="13" s="1"/>
  <c r="KO1" i="13" s="1"/>
  <c r="KP1" i="13" s="1"/>
  <c r="KQ1" i="13" s="1"/>
  <c r="KR1" i="13" s="1"/>
  <c r="KS1" i="13" s="1"/>
  <c r="KT1" i="13" s="1"/>
  <c r="KU1" i="13" s="1"/>
  <c r="KV1" i="13" s="1"/>
  <c r="KW1" i="13" s="1"/>
  <c r="KX1" i="13" s="1"/>
  <c r="KY1" i="13" s="1"/>
  <c r="KZ1" i="13" s="1"/>
  <c r="LA1" i="13" s="1"/>
  <c r="LB1" i="13" s="1"/>
  <c r="LC1" i="13" s="1"/>
  <c r="LD1" i="13" s="1"/>
  <c r="LE1" i="13" s="1"/>
  <c r="LF1" i="13" s="1"/>
  <c r="LG1" i="13" s="1"/>
  <c r="LH1" i="13" s="1"/>
  <c r="LI1" i="13" s="1"/>
  <c r="LJ1" i="13" s="1"/>
  <c r="LK1" i="13" s="1"/>
  <c r="LL1" i="13" s="1"/>
  <c r="LM1" i="13" s="1"/>
  <c r="LN1" i="13" s="1"/>
  <c r="LO1" i="13" s="1"/>
  <c r="LP1" i="13" s="1"/>
  <c r="LQ1" i="13" s="1"/>
  <c r="LR1" i="13" s="1"/>
  <c r="LS1" i="13" s="1"/>
  <c r="LT1" i="13" s="1"/>
  <c r="LU1" i="13" s="1"/>
  <c r="LV1" i="13" s="1"/>
  <c r="LW1" i="13" s="1"/>
  <c r="LX1" i="13" s="1"/>
  <c r="LY1" i="13" s="1"/>
  <c r="LZ1" i="13" s="1"/>
  <c r="MA1" i="13" s="1"/>
  <c r="MB1" i="13" s="1"/>
  <c r="MC1" i="13" s="1"/>
  <c r="MD1" i="13" s="1"/>
  <c r="ME1" i="13" s="1"/>
  <c r="MF1" i="13" s="1"/>
  <c r="MG1" i="13" s="1"/>
  <c r="MH1" i="13" s="1"/>
  <c r="MI1" i="13" s="1"/>
  <c r="MJ1" i="13" s="1"/>
  <c r="MK1" i="13" s="1"/>
  <c r="ML1" i="13" s="1"/>
  <c r="MM1" i="13" s="1"/>
  <c r="MN1" i="13" s="1"/>
  <c r="MO1" i="13" s="1"/>
  <c r="MP1" i="13" s="1"/>
  <c r="MQ1" i="13" s="1"/>
  <c r="MR1" i="13" s="1"/>
  <c r="MS1" i="13" s="1"/>
  <c r="MT1" i="13" s="1"/>
  <c r="MU1" i="13" s="1"/>
  <c r="MV1" i="13" s="1"/>
  <c r="MW1" i="13" s="1"/>
  <c r="MX1" i="13" s="1"/>
  <c r="MY1" i="13" s="1"/>
  <c r="MZ1" i="13" s="1"/>
  <c r="NA1" i="13" s="1"/>
  <c r="NB1" i="13" s="1"/>
  <c r="NC1" i="13" s="1"/>
  <c r="ND1" i="13" s="1"/>
  <c r="NE1" i="13" s="1"/>
  <c r="NF1" i="13" s="1"/>
  <c r="NG1" i="13" s="1"/>
  <c r="NH1" i="13" s="1"/>
  <c r="NI1" i="13" s="1"/>
  <c r="NJ1" i="13" s="1"/>
  <c r="NK1" i="13" s="1"/>
  <c r="NL1" i="13" s="1"/>
  <c r="NM1" i="13" s="1"/>
  <c r="NN1" i="13" s="1"/>
  <c r="NO1" i="13" s="1"/>
  <c r="NP1" i="13" s="1"/>
  <c r="NQ1" i="13" s="1"/>
  <c r="NR1" i="13" s="1"/>
  <c r="NS1" i="13" s="1"/>
  <c r="NT1" i="13" s="1"/>
  <c r="NU1" i="13" s="1"/>
  <c r="NV1" i="13" s="1"/>
  <c r="NW1" i="13" s="1"/>
  <c r="CR1" i="15"/>
  <c r="CV1" i="15"/>
  <c r="DA1" i="15" s="1"/>
  <c r="DF1" i="15" s="1"/>
  <c r="DK1" i="15" s="1"/>
  <c r="DP1" i="15" s="1"/>
  <c r="DU1" i="15" s="1"/>
  <c r="DZ1" i="15" s="1"/>
  <c r="EE1" i="15" s="1"/>
  <c r="EJ1" i="15" s="1"/>
  <c r="EO1" i="15" s="1"/>
  <c r="ET1" i="15" s="1"/>
  <c r="EY1" i="15" s="1"/>
  <c r="FD1" i="15" s="1"/>
  <c r="FI1" i="15" s="1"/>
  <c r="FN1" i="15" s="1"/>
  <c r="FS1" i="15" s="1"/>
  <c r="FX1" i="15" s="1"/>
  <c r="GC1" i="15" s="1"/>
  <c r="GH1" i="15" s="1"/>
  <c r="GM1" i="15" s="1"/>
  <c r="GR1" i="15" s="1"/>
  <c r="GW1" i="15" s="1"/>
  <c r="HB1" i="15" s="1"/>
  <c r="HG1" i="15" s="1"/>
  <c r="HL1" i="15" s="1"/>
  <c r="HQ1" i="15" s="1"/>
  <c r="HV1" i="15" s="1"/>
  <c r="IA1" i="15" s="1"/>
  <c r="IF1" i="15" s="1"/>
  <c r="CS1" i="5"/>
  <c r="CT1" i="5" s="1"/>
  <c r="CU1" i="5" s="1"/>
  <c r="CV1" i="5" s="1"/>
  <c r="CW1" i="5" s="1"/>
  <c r="E1" i="16"/>
  <c r="D2" i="16"/>
  <c r="I1" i="14"/>
  <c r="H2" i="14"/>
  <c r="CS1" i="15" l="1"/>
  <c r="CX1" i="15" s="1"/>
  <c r="DC1" i="15" s="1"/>
  <c r="DH1" i="15" s="1"/>
  <c r="DM1" i="15" s="1"/>
  <c r="DR1" i="15" s="1"/>
  <c r="DW1" i="15" s="1"/>
  <c r="EB1" i="15" s="1"/>
  <c r="EG1" i="15" s="1"/>
  <c r="EL1" i="15" s="1"/>
  <c r="EQ1" i="15" s="1"/>
  <c r="EV1" i="15" s="1"/>
  <c r="FA1" i="15" s="1"/>
  <c r="FF1" i="15" s="1"/>
  <c r="FK1" i="15" s="1"/>
  <c r="FP1" i="15" s="1"/>
  <c r="FU1" i="15" s="1"/>
  <c r="FZ1" i="15" s="1"/>
  <c r="GE1" i="15" s="1"/>
  <c r="GJ1" i="15" s="1"/>
  <c r="GO1" i="15" s="1"/>
  <c r="GT1" i="15" s="1"/>
  <c r="GY1" i="15" s="1"/>
  <c r="HD1" i="15" s="1"/>
  <c r="HI1" i="15" s="1"/>
  <c r="HN1" i="15" s="1"/>
  <c r="HS1" i="15" s="1"/>
  <c r="HX1" i="15" s="1"/>
  <c r="IC1" i="15" s="1"/>
  <c r="IH1" i="15" s="1"/>
  <c r="II1" i="15" s="1"/>
  <c r="IJ1" i="15" s="1"/>
  <c r="IK1" i="15" s="1"/>
  <c r="IL1" i="15" s="1"/>
  <c r="IM1" i="15" s="1"/>
  <c r="IN1" i="15" s="1"/>
  <c r="IO1" i="15" s="1"/>
  <c r="IP1" i="15" s="1"/>
  <c r="IQ1" i="15" s="1"/>
  <c r="IR1" i="15" s="1"/>
  <c r="IS1" i="15" s="1"/>
  <c r="IT1" i="15" s="1"/>
  <c r="IU1" i="15" s="1"/>
  <c r="IV1" i="15" s="1"/>
  <c r="IW1" i="15" s="1"/>
  <c r="IX1" i="15" s="1"/>
  <c r="IY1" i="15" s="1"/>
  <c r="IZ1" i="15" s="1"/>
  <c r="JA1" i="15" s="1"/>
  <c r="JB1" i="15" s="1"/>
  <c r="JC1" i="15" s="1"/>
  <c r="JD1" i="15" s="1"/>
  <c r="JE1" i="15" s="1"/>
  <c r="JF1" i="15" s="1"/>
  <c r="JG1" i="15" s="1"/>
  <c r="JH1" i="15" s="1"/>
  <c r="JI1" i="15" s="1"/>
  <c r="JJ1" i="15" s="1"/>
  <c r="JK1" i="15" s="1"/>
  <c r="JL1" i="15" s="1"/>
  <c r="JM1" i="15" s="1"/>
  <c r="JN1" i="15" s="1"/>
  <c r="JO1" i="15" s="1"/>
  <c r="JP1" i="15" s="1"/>
  <c r="JQ1" i="15" s="1"/>
  <c r="JR1" i="15" s="1"/>
  <c r="JS1" i="15" s="1"/>
  <c r="JT1" i="15" s="1"/>
  <c r="JU1" i="15" s="1"/>
  <c r="JV1" i="15" s="1"/>
  <c r="JW1" i="15" s="1"/>
  <c r="JX1" i="15" s="1"/>
  <c r="JY1" i="15" s="1"/>
  <c r="JZ1" i="15" s="1"/>
  <c r="KA1" i="15" s="1"/>
  <c r="KB1" i="15" s="1"/>
  <c r="KC1" i="15" s="1"/>
  <c r="KD1" i="15" s="1"/>
  <c r="KE1" i="15" s="1"/>
  <c r="KF1" i="15" s="1"/>
  <c r="KG1" i="15" s="1"/>
  <c r="KH1" i="15" s="1"/>
  <c r="KI1" i="15" s="1"/>
  <c r="KJ1" i="15" s="1"/>
  <c r="KK1" i="15" s="1"/>
  <c r="KL1" i="15" s="1"/>
  <c r="KM1" i="15" s="1"/>
  <c r="KN1" i="15" s="1"/>
  <c r="KO1" i="15" s="1"/>
  <c r="KP1" i="15" s="1"/>
  <c r="KQ1" i="15" s="1"/>
  <c r="KR1" i="15" s="1"/>
  <c r="KS1" i="15" s="1"/>
  <c r="KT1" i="15" s="1"/>
  <c r="KU1" i="15" s="1"/>
  <c r="KV1" i="15" s="1"/>
  <c r="KW1" i="15" s="1"/>
  <c r="KX1" i="15" s="1"/>
  <c r="KY1" i="15" s="1"/>
  <c r="KZ1" i="15" s="1"/>
  <c r="LA1" i="15" s="1"/>
  <c r="LB1" i="15" s="1"/>
  <c r="LC1" i="15" s="1"/>
  <c r="LD1" i="15" s="1"/>
  <c r="LE1" i="15" s="1"/>
  <c r="LF1" i="15" s="1"/>
  <c r="LG1" i="15" s="1"/>
  <c r="LH1" i="15" s="1"/>
  <c r="LI1" i="15" s="1"/>
  <c r="LJ1" i="15" s="1"/>
  <c r="CW1" i="15"/>
  <c r="DB1" i="15" s="1"/>
  <c r="DG1" i="15" s="1"/>
  <c r="DL1" i="15" s="1"/>
  <c r="DQ1" i="15" s="1"/>
  <c r="DV1" i="15" s="1"/>
  <c r="EA1" i="15" s="1"/>
  <c r="EF1" i="15" s="1"/>
  <c r="EK1" i="15" s="1"/>
  <c r="EP1" i="15" s="1"/>
  <c r="EU1" i="15" s="1"/>
  <c r="EZ1" i="15" s="1"/>
  <c r="FE1" i="15" s="1"/>
  <c r="FJ1" i="15" s="1"/>
  <c r="FO1" i="15" s="1"/>
  <c r="FT1" i="15" s="1"/>
  <c r="FY1" i="15" s="1"/>
  <c r="GD1" i="15" s="1"/>
  <c r="GI1" i="15" s="1"/>
  <c r="GN1" i="15" s="1"/>
  <c r="GS1" i="15" s="1"/>
  <c r="GX1" i="15" s="1"/>
  <c r="HC1" i="15" s="1"/>
  <c r="HH1" i="15" s="1"/>
  <c r="HM1" i="15" s="1"/>
  <c r="HR1" i="15" s="1"/>
  <c r="HW1" i="15" s="1"/>
  <c r="IB1" i="15" s="1"/>
  <c r="IG1" i="15" s="1"/>
  <c r="CX1" i="5"/>
  <c r="CY1" i="5" s="1"/>
  <c r="CZ1" i="5" s="1"/>
  <c r="DA1" i="5" s="1"/>
  <c r="DB1" i="5" s="1"/>
  <c r="F1" i="16"/>
  <c r="E2" i="16"/>
  <c r="J1" i="14"/>
  <c r="I2" i="14"/>
  <c r="DC1" i="5" l="1"/>
  <c r="DD1" i="5" s="1"/>
  <c r="DE1" i="5" s="1"/>
  <c r="DF1" i="5" s="1"/>
  <c r="DG1" i="5" s="1"/>
  <c r="DH1" i="5" s="1"/>
  <c r="DI1" i="5" s="1"/>
  <c r="DJ1" i="5" s="1"/>
  <c r="DK1" i="5" s="1"/>
  <c r="DL1" i="5" s="1"/>
  <c r="DM1" i="5" s="1"/>
  <c r="DN1" i="5" s="1"/>
  <c r="DO1" i="5" s="1"/>
  <c r="DP1" i="5" s="1"/>
  <c r="DQ1" i="5" s="1"/>
  <c r="DR1" i="5" s="1"/>
  <c r="DS1" i="5" s="1"/>
  <c r="DT1" i="5" s="1"/>
  <c r="DU1" i="5" s="1"/>
  <c r="DV1" i="5" s="1"/>
  <c r="DW1" i="5" s="1"/>
  <c r="DX1" i="5" s="1"/>
  <c r="DY1" i="5" s="1"/>
  <c r="DZ1" i="5" s="1"/>
  <c r="EA1" i="5" s="1"/>
  <c r="EB1" i="5" s="1"/>
  <c r="EC1" i="5" s="1"/>
  <c r="ED1" i="5" s="1"/>
  <c r="EE1" i="5" s="1"/>
  <c r="EF1" i="5" s="1"/>
  <c r="EG1" i="5" s="1"/>
  <c r="EH1" i="5" s="1"/>
  <c r="EI1" i="5" s="1"/>
  <c r="EJ1" i="5" s="1"/>
  <c r="EK1" i="5" s="1"/>
  <c r="EL1" i="5" s="1"/>
  <c r="EM1" i="5" s="1"/>
  <c r="EN1" i="5" s="1"/>
  <c r="EO1" i="5" s="1"/>
  <c r="EP1" i="5" s="1"/>
  <c r="EQ1" i="5" s="1"/>
  <c r="ER1" i="5" s="1"/>
  <c r="ES1" i="5" s="1"/>
  <c r="ET1" i="5" s="1"/>
  <c r="EU1" i="5" s="1"/>
  <c r="EV1" i="5" s="1"/>
  <c r="EW1" i="5" s="1"/>
  <c r="EX1" i="5" s="1"/>
  <c r="EY1" i="5" s="1"/>
  <c r="EZ1" i="5" s="1"/>
  <c r="FA1" i="5" s="1"/>
  <c r="FB1" i="5" s="1"/>
  <c r="FC1" i="5" s="1"/>
  <c r="FD1" i="5" s="1"/>
  <c r="FE1" i="5" s="1"/>
  <c r="FF1" i="5" s="1"/>
  <c r="FG1" i="5" s="1"/>
  <c r="FH1" i="5" s="1"/>
  <c r="FI1" i="5" s="1"/>
  <c r="FJ1" i="5" s="1"/>
  <c r="FK1" i="5" s="1"/>
  <c r="FL1" i="5" s="1"/>
  <c r="FM1" i="5" s="1"/>
  <c r="FN1" i="5" s="1"/>
  <c r="FO1" i="5" s="1"/>
  <c r="FP1" i="5" s="1"/>
  <c r="FQ1" i="5" s="1"/>
  <c r="FR1" i="5" s="1"/>
  <c r="FS1" i="5" s="1"/>
  <c r="FT1" i="5" s="1"/>
  <c r="FU1" i="5" s="1"/>
  <c r="FV1" i="5" s="1"/>
  <c r="FW1" i="5" s="1"/>
  <c r="FX1" i="5" s="1"/>
  <c r="FY1" i="5" s="1"/>
  <c r="FZ1" i="5" s="1"/>
  <c r="GA1" i="5" s="1"/>
  <c r="GB1" i="5" s="1"/>
  <c r="GC1" i="5" s="1"/>
  <c r="GD1" i="5" s="1"/>
  <c r="GE1" i="5" s="1"/>
  <c r="GF1" i="5" s="1"/>
  <c r="GG1" i="5" s="1"/>
  <c r="GH1" i="5" s="1"/>
  <c r="GI1" i="5" s="1"/>
  <c r="GJ1" i="5" s="1"/>
  <c r="GK1" i="5" s="1"/>
  <c r="GL1" i="5" s="1"/>
  <c r="GM1" i="5" s="1"/>
  <c r="GN1" i="5" s="1"/>
  <c r="GO1" i="5" s="1"/>
  <c r="GP1" i="5" s="1"/>
  <c r="GQ1" i="5" s="1"/>
  <c r="GR1" i="5" s="1"/>
  <c r="GS1" i="5" s="1"/>
  <c r="GT1" i="5" s="1"/>
  <c r="GU1" i="5" s="1"/>
  <c r="GV1" i="5" s="1"/>
  <c r="GW1" i="5" s="1"/>
  <c r="GX1" i="5" s="1"/>
  <c r="GY1" i="5" s="1"/>
  <c r="GZ1" i="5" s="1"/>
  <c r="HA1" i="5" s="1"/>
  <c r="HB1" i="5" s="1"/>
  <c r="HC1" i="5" s="1"/>
  <c r="HD1" i="5" s="1"/>
  <c r="HE1" i="5" s="1"/>
  <c r="HF1" i="5" s="1"/>
  <c r="HG1" i="5" s="1"/>
  <c r="HH1" i="5" s="1"/>
  <c r="HI1" i="5" s="1"/>
  <c r="HJ1" i="5" s="1"/>
  <c r="HK1" i="5" s="1"/>
  <c r="HL1" i="5" s="1"/>
  <c r="HM1" i="5" s="1"/>
  <c r="HN1" i="5" s="1"/>
  <c r="HO1" i="5" s="1"/>
  <c r="HP1" i="5" s="1"/>
  <c r="HQ1" i="5" s="1"/>
  <c r="HR1" i="5" s="1"/>
  <c r="HS1" i="5" s="1"/>
  <c r="HT1" i="5" s="1"/>
  <c r="HU1" i="5" s="1"/>
  <c r="HV1" i="5" s="1"/>
  <c r="HW1" i="5" s="1"/>
  <c r="HX1" i="5" s="1"/>
  <c r="HY1" i="5" s="1"/>
  <c r="HZ1" i="5" s="1"/>
  <c r="IA1" i="5" s="1"/>
  <c r="IB1" i="5" s="1"/>
  <c r="IC1" i="5" s="1"/>
  <c r="ID1" i="5" s="1"/>
  <c r="IE1" i="5" s="1"/>
  <c r="IF1" i="5" s="1"/>
  <c r="IG1" i="5" s="1"/>
  <c r="IH1" i="5" s="1"/>
  <c r="II1" i="5" s="1"/>
  <c r="IJ1" i="5" s="1"/>
  <c r="IK1" i="5" s="1"/>
  <c r="IL1" i="5" s="1"/>
  <c r="IM1" i="5" s="1"/>
  <c r="IN1" i="5" s="1"/>
  <c r="IO1" i="5" s="1"/>
  <c r="IP1" i="5" s="1"/>
  <c r="IQ1" i="5" s="1"/>
  <c r="IR1" i="5" s="1"/>
  <c r="IS1" i="5" s="1"/>
  <c r="IT1" i="5" s="1"/>
  <c r="IU1" i="5" s="1"/>
  <c r="IV1" i="5" s="1"/>
  <c r="IW1" i="5" s="1"/>
  <c r="IX1" i="5" s="1"/>
  <c r="IY1" i="5" s="1"/>
  <c r="IZ1" i="5" s="1"/>
  <c r="JA1" i="5" s="1"/>
  <c r="JB1" i="5" s="1"/>
  <c r="JC1" i="5" s="1"/>
  <c r="JD1" i="5" s="1"/>
  <c r="JE1" i="5" s="1"/>
  <c r="JF1" i="5" s="1"/>
  <c r="JG1" i="5" s="1"/>
  <c r="JH1" i="5" s="1"/>
  <c r="JI1" i="5" s="1"/>
  <c r="JJ1" i="5" s="1"/>
  <c r="JK1" i="5" s="1"/>
  <c r="JL1" i="5" s="1"/>
  <c r="JM1" i="5" s="1"/>
  <c r="JN1" i="5" s="1"/>
  <c r="JO1" i="5" s="1"/>
  <c r="JP1" i="5" s="1"/>
  <c r="JQ1" i="5" s="1"/>
  <c r="JR1" i="5" s="1"/>
  <c r="JS1" i="5" s="1"/>
  <c r="JT1" i="5" s="1"/>
  <c r="JU1" i="5" s="1"/>
  <c r="JV1" i="5" s="1"/>
  <c r="JW1" i="5" s="1"/>
  <c r="JX1" i="5" s="1"/>
  <c r="JY1" i="5" s="1"/>
  <c r="JZ1" i="5" s="1"/>
  <c r="KA1" i="5" s="1"/>
  <c r="KB1" i="5" s="1"/>
  <c r="KC1" i="5" s="1"/>
  <c r="KD1" i="5" s="1"/>
  <c r="KE1" i="5" s="1"/>
  <c r="KF1" i="5" s="1"/>
  <c r="KG1" i="5" s="1"/>
  <c r="KH1" i="5" s="1"/>
  <c r="KI1" i="5" s="1"/>
  <c r="KJ1" i="5" s="1"/>
  <c r="KK1" i="5" s="1"/>
  <c r="KL1" i="5" s="1"/>
  <c r="KM1" i="5" s="1"/>
  <c r="KN1" i="5" s="1"/>
  <c r="KO1" i="5" s="1"/>
  <c r="KP1" i="5" s="1"/>
  <c r="KQ1" i="5" s="1"/>
  <c r="KR1" i="5" s="1"/>
  <c r="KS1" i="5" s="1"/>
  <c r="KT1" i="5" s="1"/>
  <c r="KU1" i="5" s="1"/>
  <c r="KV1" i="5" s="1"/>
  <c r="KW1" i="5" s="1"/>
  <c r="KX1" i="5" s="1"/>
  <c r="KY1" i="5" s="1"/>
  <c r="KZ1" i="5" s="1"/>
  <c r="LA1" i="5" s="1"/>
  <c r="LB1" i="5" s="1"/>
  <c r="LC1" i="5" s="1"/>
  <c r="LD1" i="5" s="1"/>
  <c r="LE1" i="5" s="1"/>
  <c r="LF1" i="5" s="1"/>
  <c r="LG1" i="5" s="1"/>
  <c r="LH1" i="5" s="1"/>
  <c r="LI1" i="5" s="1"/>
  <c r="LJ1" i="5" s="1"/>
  <c r="LK1" i="5" s="1"/>
  <c r="LL1" i="5" s="1"/>
  <c r="LM1" i="5" s="1"/>
  <c r="LN1" i="5" s="1"/>
  <c r="LO1" i="5" s="1"/>
  <c r="LP1" i="5" s="1"/>
  <c r="LQ1" i="5" s="1"/>
  <c r="LR1" i="5" s="1"/>
  <c r="LS1" i="5" s="1"/>
  <c r="LT1" i="5" s="1"/>
  <c r="LU1" i="5" s="1"/>
  <c r="LV1" i="5" s="1"/>
  <c r="LW1" i="5" s="1"/>
  <c r="LX1" i="5" s="1"/>
  <c r="LY1" i="5" s="1"/>
  <c r="LZ1" i="5" s="1"/>
  <c r="MA1" i="5" s="1"/>
  <c r="MB1" i="5" s="1"/>
  <c r="MC1" i="5" s="1"/>
  <c r="MD1" i="5" s="1"/>
  <c r="ME1" i="5" s="1"/>
  <c r="MF1" i="5" s="1"/>
  <c r="MG1" i="5" s="1"/>
  <c r="MH1" i="5" s="1"/>
  <c r="MI1" i="5" s="1"/>
  <c r="MJ1" i="5" s="1"/>
  <c r="MK1" i="5" s="1"/>
  <c r="ML1" i="5" s="1"/>
  <c r="MM1" i="5" s="1"/>
  <c r="MN1" i="5" s="1"/>
  <c r="MO1" i="5" s="1"/>
  <c r="MP1" i="5" s="1"/>
  <c r="MQ1" i="5" s="1"/>
  <c r="MR1" i="5" s="1"/>
  <c r="MS1" i="5" s="1"/>
  <c r="MT1" i="5" s="1"/>
  <c r="MU1" i="5" s="1"/>
  <c r="MV1" i="5" s="1"/>
  <c r="MW1" i="5" s="1"/>
  <c r="MX1" i="5" s="1"/>
  <c r="MY1" i="5" s="1"/>
  <c r="G1" i="16"/>
  <c r="F2" i="16"/>
  <c r="K1" i="14"/>
  <c r="P1" i="14" s="1"/>
  <c r="U1" i="14" s="1"/>
  <c r="Z1" i="14" s="1"/>
  <c r="AE1" i="14" s="1"/>
  <c r="AJ1" i="14" s="1"/>
  <c r="AO1" i="14" s="1"/>
  <c r="J2" i="14"/>
  <c r="H1" i="16" l="1"/>
  <c r="G2" i="16"/>
  <c r="AT1" i="14"/>
  <c r="I1" i="16" l="1"/>
  <c r="H2" i="16"/>
  <c r="J1" i="16" l="1"/>
  <c r="I2" i="16"/>
  <c r="K1" i="16" l="1"/>
  <c r="J2" i="16"/>
  <c r="L1" i="16" l="1"/>
  <c r="K2" i="16"/>
  <c r="M1" i="16" l="1"/>
  <c r="L2" i="16"/>
  <c r="N1" i="16" l="1"/>
  <c r="M2" i="16"/>
  <c r="CT1" i="15"/>
  <c r="O1" i="16" l="1"/>
  <c r="N2" i="16"/>
  <c r="CY1" i="15"/>
  <c r="P1" i="16" l="1"/>
  <c r="O2" i="16"/>
  <c r="DD1" i="15"/>
  <c r="P2" i="16" l="1"/>
  <c r="Q1" i="16"/>
  <c r="DI1" i="15"/>
  <c r="DN1" i="15" s="1"/>
  <c r="R1" i="16" l="1"/>
  <c r="Q2" i="16"/>
  <c r="S1" i="16" l="1"/>
  <c r="R2" i="16"/>
  <c r="DS1" i="15"/>
  <c r="DX1" i="15" s="1"/>
  <c r="T1" i="16" l="1"/>
  <c r="S2" i="16"/>
  <c r="T2" i="16" l="1"/>
  <c r="U1" i="16"/>
  <c r="EC1" i="15"/>
  <c r="EH1" i="15" s="1"/>
  <c r="EM1" i="15" s="1"/>
  <c r="ER1" i="15" s="1"/>
  <c r="EW1" i="15" s="1"/>
  <c r="FB1" i="15" s="1"/>
  <c r="FG1" i="15" s="1"/>
  <c r="FL1" i="15" s="1"/>
  <c r="FQ1" i="15" s="1"/>
  <c r="FV1" i="15" s="1"/>
  <c r="GA1" i="15" s="1"/>
  <c r="GF1" i="15" s="1"/>
  <c r="GK1" i="15" s="1"/>
  <c r="GP1" i="15" s="1"/>
  <c r="GU1" i="15" s="1"/>
  <c r="GZ1" i="15" s="1"/>
  <c r="HE1" i="15" s="1"/>
  <c r="HJ1" i="15" s="1"/>
  <c r="HO1" i="15" s="1"/>
  <c r="HT1" i="15" s="1"/>
  <c r="HY1" i="15" s="1"/>
  <c r="ID1" i="15" s="1"/>
  <c r="V1" i="16" l="1"/>
  <c r="U2" i="16"/>
  <c r="W1" i="16" l="1"/>
  <c r="V2" i="16"/>
  <c r="W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Pranay Kawalkar</author>
  </authors>
  <commentList>
    <comment ref="H11" authorId="0" shapeId="0" xr:uid="{7C3F3361-742E-4F71-8A9D-50FB849F0FBA}">
      <text>
        <r>
          <rPr>
            <b/>
            <sz val="9"/>
            <color indexed="81"/>
            <rFont val="Tahoma"/>
            <family val="2"/>
          </rPr>
          <t>Pranay Kawalkar:</t>
        </r>
        <r>
          <rPr>
            <sz val="9"/>
            <color indexed="81"/>
            <rFont val="Tahoma"/>
            <family val="2"/>
          </rPr>
          <t xml:space="preserve">
Was recoridng BHE on behalf of Ray, as Ray is OOO.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tc={03CC8EBD-5E26-F648-ABC0-2ECBDD5C2A00}</author>
    <author>tc={77E5F671-2498-534F-BB5E-6F784A8903CC}</author>
    <author>tc={A021C8CD-8877-CE45-8097-724B89670FCE}</author>
    <author>tc={B4427DF7-CF7A-6A44-861A-4D10028D0D57}</author>
    <author>tc={F035BAE0-6FB8-4740-8E6E-EC634A75DEA2}</author>
    <author>tc={50561F9C-CB64-F04E-B2EF-834ECE284F02}</author>
    <author>tc={9DB7C8A7-92C8-7B4C-A722-1BCD0A334F3F}</author>
    <author>tc={C8454E98-654C-7649-BCDC-D25E112BA743}</author>
    <author>tc={01BE6139-D397-1D4F-B1C3-8BE87B56B257}</author>
    <author>tc={49EE2287-378E-D54B-B1A3-C54507B24866}</author>
    <author>tc={E8133E58-8CE3-9347-B794-F5D15030F059}</author>
    <author>tc={D25AE1C0-BAC1-9742-B41D-B7F4DD95907B}</author>
    <author>tc={F60B393C-0280-6D40-8370-D32DABE386F1}</author>
    <author>tc={9C62C626-204B-0B4C-BD48-90F1732A88D0}</author>
    <author>tc={968007A5-12EB-A34C-9217-0E120B51B6EA}</author>
  </authors>
  <commentList>
    <comment ref="D1" authorId="0" shapeId="0" xr:uid="{03CC8EBD-5E26-F648-ABC0-2ECBDD5C2A00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E1" authorId="1" shapeId="0" xr:uid="{77E5F671-2498-534F-BB5E-6F784A8903CC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Q1" authorId="2" shapeId="0" xr:uid="{A021C8CD-8877-CE45-8097-724B89670FCE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R1" authorId="3" shapeId="0" xr:uid="{B4427DF7-CF7A-6A44-861A-4D10028D0D57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AC1" authorId="4" shapeId="0" xr:uid="{F035BAE0-6FB8-4740-8E6E-EC634A75DEA2}">
      <text>
        <t>[Threaded comment]
Your version of Excel allows you to read this threaded comment; however, any edits to it will get removed if the file is opened in a newer version of Excel. Learn more: https://go.microsoft.com/fwlink/?linkid=870924
Comment:
    Delhi Holiday</t>
      </text>
    </comment>
    <comment ref="AG1" authorId="5" shapeId="0" xr:uid="{50561F9C-CB64-F04E-B2EF-834ECE284F02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S1" authorId="6" shapeId="0" xr:uid="{9DB7C8A7-92C8-7B4C-A722-1BCD0A334F3F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T1" authorId="7" shapeId="0" xr:uid="{C8454E98-654C-7649-BCDC-D25E112BA7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M1" authorId="8" shapeId="0" xr:uid="{01BE6139-D397-1D4F-B1C3-8BE87B56B257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N1" authorId="9" shapeId="0" xr:uid="{49EE2287-378E-D54B-B1A3-C54507B24866}">
      <text>
        <t>[Threaded comment]
Your version of Excel allows you to read this threaded comment; however, any edits to it will get removed if the file is opened in a newer version of Excel. Learn more: https://go.microsoft.com/fwlink/?linkid=870924
Comment:
    US Winter Break</t>
      </text>
    </comment>
    <comment ref="BO1" authorId="10" shapeId="0" xr:uid="{E8133E58-8CE3-9347-B794-F5D15030F059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P1" authorId="11" shapeId="0" xr:uid="{D25AE1C0-BAC1-9742-B41D-B7F4DD9590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Q1" authorId="12" shapeId="0" xr:uid="{F60B393C-0280-6D40-8370-D32DABE386F1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R1" authorId="13" shapeId="0" xr:uid="{9C62C626-204B-0B4C-BD48-90F1732A88D0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CD1" authorId="14" shapeId="0" xr:uid="{968007A5-12EB-A34C-9217-0E120B51B6EA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tc={CF4C75A5-CCBE-834D-A18B-E14B578E1C0C}</author>
    <author>tc={730AF2FA-09F0-1949-8FFA-0C041EB9CE29}</author>
    <author>tc={5E3185E5-EC83-7948-ABB6-A055949D398B}</author>
    <author>tc={DCE726CF-82AB-9D42-997E-04EA6FC4AE2F}</author>
    <author>tc={8C1B2F66-A2FD-9748-A43A-D4B6538AD8A3}</author>
    <author>tc={8C5BB442-3C86-464C-8825-1E0296EB0086}</author>
    <author>tc={A0F48F42-DC9C-7942-B70F-E8CC7CCDBA43}</author>
    <author>tc={779FF553-033F-674C-95ED-322139D06A27}</author>
    <author>tc={A47BBD90-26EE-A64D-931C-E86D6E7140C1}</author>
    <author>tc={29793490-753B-1745-A83D-4594BFE7BA90}</author>
    <author>tc={2FC6FE43-76F4-6F49-A472-3B91A8970758}</author>
    <author>tc={A150B99D-B9F9-1449-8A6E-882357FF1111}</author>
    <author>tc={33F70623-7D3B-E849-81AB-A484FFA729B6}</author>
    <author>tc={ABD9A717-6FA5-8C4F-9F1D-46FF86C5CC15}</author>
  </authors>
  <commentList>
    <comment ref="D1" authorId="0" shapeId="0" xr:uid="{CF4C75A5-CCBE-834D-A18B-E14B578E1C0C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Q1" authorId="1" shapeId="0" xr:uid="{730AF2FA-09F0-1949-8FFA-0C041EB9CE29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R1" authorId="2" shapeId="0" xr:uid="{5E3185E5-EC83-7948-ABB6-A055949D398B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Holiday</t>
      </text>
    </comment>
    <comment ref="AC1" authorId="3" shapeId="0" xr:uid="{DCE726CF-82AB-9D42-997E-04EA6FC4AE2F}">
      <text>
        <t>[Threaded comment]
Your version of Excel allows you to read this threaded comment; however, any edits to it will get removed if the file is opened in a newer version of Excel. Learn more: https://go.microsoft.com/fwlink/?linkid=870924
Comment:
    Delhi Holiday</t>
      </text>
    </comment>
    <comment ref="AG1" authorId="4" shapeId="0" xr:uid="{8C1B2F66-A2FD-9748-A43A-D4B6538AD8A3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S1" authorId="5" shapeId="0" xr:uid="{8C5BB442-3C86-464C-8825-1E0296EB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T1" authorId="6" shapeId="0" xr:uid="{A0F48F42-DC9C-7942-B70F-E8CC7CCDBA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M1" authorId="7" shapeId="0" xr:uid="{779FF553-033F-674C-95ED-322139D06A27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N1" authorId="8" shapeId="0" xr:uid="{A47BBD90-26EE-A64D-931C-E86D6E7140C1}">
      <text>
        <t>[Threaded comment]
Your version of Excel allows you to read this threaded comment; however, any edits to it will get removed if the file is opened in a newer version of Excel. Learn more: https://go.microsoft.com/fwlink/?linkid=870924
Comment:
    US Winter Break</t>
      </text>
    </comment>
    <comment ref="BO1" authorId="9" shapeId="0" xr:uid="{29793490-753B-1745-A83D-4594BFE7BA90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P1" authorId="10" shapeId="0" xr:uid="{2FC6FE43-76F4-6F49-A472-3B91A8970758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Q1" authorId="11" shapeId="0" xr:uid="{A150B99D-B9F9-1449-8A6E-882357FF1111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R1" authorId="12" shapeId="0" xr:uid="{33F70623-7D3B-E849-81AB-A484FFA7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CD1" authorId="13" shapeId="0" xr:uid="{ABD9A717-6FA5-8C4F-9F1D-46FF86C5CC15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tc={910BC74C-C0E4-554D-9380-B433A1F4CB94}</author>
  </authors>
  <commentList>
    <comment ref="A5" authorId="0" shapeId="0" xr:uid="{910BC74C-C0E4-554D-9380-B433A1F4CB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Responsys NFs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tc={1E02C8A0-6429-48EE-B382-E893136DFA5C}</author>
    <author>tc={166E7C8E-D054-4DAF-B376-9210C573AD12}</author>
    <author>tc={C83256C2-08A3-4E24-AA49-F81C47D883F0}</author>
    <author>tc={E3D5D81F-7AFC-4D62-91D5-2026A2CAD4A1}</author>
    <author>tc={219BFCD9-A15B-40ED-8973-4D3398343119}</author>
    <author>tc={77BE4483-7952-4963-8A8B-55CFE976D15B}</author>
    <author>tc={EF63BA31-18DD-42D3-B2C7-4F878F391DCF}</author>
    <author>tc={AA202582-4CE7-4E13-B770-CB487045A1F7}</author>
    <author>tc={92523DEB-33F3-497F-A650-CDAEAEFD02D0}</author>
    <author>tc={C2B0ABAA-ABAE-41E5-8433-E2316142386C}</author>
    <author>tc={5EA79369-859A-4C5D-9D88-229FDA445016}</author>
  </authors>
  <commentList>
    <comment ref="Z1" authorId="0" shapeId="0" xr:uid="{1E02C8A0-6429-48EE-B382-E893136DFA5C}">
      <text>
        <t>[Threaded comment]
Your version of Excel allows you to read this threaded comment; however, any edits to it will get removed if the file is opened in a newer version of Excel. Learn more: https://go.microsoft.com/fwlink/?linkid=870924
Comment:
    Delhi Holiday</t>
      </text>
    </comment>
    <comment ref="AD1" authorId="1" shapeId="0" xr:uid="{166E7C8E-D054-4DAF-B376-9210C573AD12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P1" authorId="2" shapeId="0" xr:uid="{C83256C2-08A3-4E24-AA49-F81C47D8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AQ1" authorId="3" shapeId="0" xr:uid="{E3D5D81F-7AFC-4D62-91D5-2026A2CAD4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J1" authorId="4" shapeId="0" xr:uid="{219BFCD9-A15B-40ED-8973-4D3398343119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K1" authorId="5" shapeId="0" xr:uid="{77BE4483-7952-4963-8A8B-55CFE976D15B}">
      <text>
        <t>[Threaded comment]
Your version of Excel allows you to read this threaded comment; however, any edits to it will get removed if the file is opened in a newer version of Excel. Learn more: https://go.microsoft.com/fwlink/?linkid=870924
Comment:
    US Winter Break</t>
      </text>
    </comment>
    <comment ref="BL1" authorId="6" shapeId="0" xr:uid="{EF63BA31-18DD-42D3-B2C7-4F878F391DCF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M1" authorId="7" shapeId="0" xr:uid="{AA202582-4CE7-4E13-B770-CB487045A1F7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N1" authorId="8" shapeId="0" xr:uid="{92523DEB-33F3-497F-A650-CDAEAEFD02D0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BO1" authorId="9" shapeId="0" xr:uid="{C2B0ABAA-ABAE-41E5-8433-E2316142386C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  <comment ref="CA1" authorId="10" shapeId="0" xr:uid="{5EA79369-859A-4C5D-9D88-229FDA4450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 Holiday</t>
      </text>
    </comment>
  </commentList>
</comments>
</file>

<file path=xl/sharedStrings.xml><?xml version="1.0" encoding="utf-8"?>
<sst xmlns="http://schemas.openxmlformats.org/spreadsheetml/2006/main" count="9777" uniqueCount="2133">
  <si>
    <t>Pillar</t>
  </si>
  <si>
    <t>CDL</t>
  </si>
  <si>
    <t>HCM</t>
  </si>
  <si>
    <t>HQ</t>
  </si>
  <si>
    <t>Jess</t>
  </si>
  <si>
    <t>Weekend</t>
  </si>
  <si>
    <t>Nigel</t>
  </si>
  <si>
    <t>IDC</t>
  </si>
  <si>
    <t>Rohit</t>
  </si>
  <si>
    <t>Sarah</t>
  </si>
  <si>
    <t>Priscilla</t>
  </si>
  <si>
    <t>Kurt</t>
  </si>
  <si>
    <t>Deb</t>
  </si>
  <si>
    <t>Susan</t>
  </si>
  <si>
    <t>Jeff</t>
  </si>
  <si>
    <t>SCM</t>
  </si>
  <si>
    <t>David</t>
  </si>
  <si>
    <t>BHE</t>
  </si>
  <si>
    <t>OOO</t>
  </si>
  <si>
    <t>Nick</t>
  </si>
  <si>
    <t>AI Agent Studio</t>
  </si>
  <si>
    <t>Farrell</t>
  </si>
  <si>
    <t>25C NF</t>
  </si>
  <si>
    <t>Jackie</t>
  </si>
  <si>
    <t>Ray</t>
  </si>
  <si>
    <t>Kirthika</t>
  </si>
  <si>
    <t>Ashik</t>
  </si>
  <si>
    <t>Navigator</t>
  </si>
  <si>
    <t>Omkar</t>
  </si>
  <si>
    <t>ERP</t>
  </si>
  <si>
    <t>Akhil</t>
  </si>
  <si>
    <t>Pankaj</t>
  </si>
  <si>
    <t>Deepak</t>
  </si>
  <si>
    <t>Irina</t>
  </si>
  <si>
    <t>Simon</t>
  </si>
  <si>
    <t>Marcelina</t>
  </si>
  <si>
    <t>Chris (4-DPW)</t>
  </si>
  <si>
    <t>Richard</t>
  </si>
  <si>
    <t>Barney</t>
  </si>
  <si>
    <t>Infodev</t>
  </si>
  <si>
    <t>Curr 2.0</t>
  </si>
  <si>
    <t>Holiday</t>
  </si>
  <si>
    <t>Courses</t>
  </si>
  <si>
    <t>Payables &amp; GL</t>
  </si>
  <si>
    <t>Receivables &amp; Accounting Hub</t>
  </si>
  <si>
    <t xml:space="preserve">Procurement &amp; Inventory </t>
  </si>
  <si>
    <t>Core HR &amp; Recruiting</t>
  </si>
  <si>
    <t>Talent Management</t>
  </si>
  <si>
    <t>Payroll</t>
  </si>
  <si>
    <t> </t>
  </si>
  <si>
    <t>Monday</t>
  </si>
  <si>
    <t>Tuesday</t>
  </si>
  <si>
    <t>Wednesday</t>
  </si>
  <si>
    <t>Thursday</t>
  </si>
  <si>
    <t>Friday</t>
  </si>
  <si>
    <t>Monday - 26B ENVIRONMENT</t>
  </si>
  <si>
    <t>Tuesday - BOM</t>
  </si>
  <si>
    <t>Wednesday - BOM</t>
  </si>
  <si>
    <t>Thursday - BOM</t>
  </si>
  <si>
    <t>Friday - NF</t>
  </si>
  <si>
    <t>Monday - NF</t>
  </si>
  <si>
    <t>Tuesday - NF</t>
  </si>
  <si>
    <t>Wednesday - NF</t>
  </si>
  <si>
    <t>Thursday - NF</t>
  </si>
  <si>
    <t>25D New Features
BOM Review
Checking NF in Env
AI Meetings
Success Navigator Training</t>
  </si>
  <si>
    <t>HCM PRP
Steve NF Chat Working Session
25D New Features
BOM Review
Checking NF in Env
BOM Submitted first thing Wed AM
AI Meetings
Success Navigator Training</t>
  </si>
  <si>
    <t>Walkthrough: 25D Unboxing &amp; NF Template
AI World Prep</t>
  </si>
  <si>
    <t>AI World Prep
Steve NF Chat Working Session</t>
  </si>
  <si>
    <t>AI World Prep</t>
  </si>
  <si>
    <t>AI World
October 13–16, 2025, in Las Vegas</t>
  </si>
  <si>
    <t>Catch Up Email etc</t>
  </si>
  <si>
    <t>25D New Features
Review &amp; Submit Samples
Content and Sample Recording
1 for tomorrow
3 in progress
9 in queue</t>
  </si>
  <si>
    <t>HCM PRP
25D New Features
Content creation and awaiting Sample Approval to continue recording
1 recorded
5 for tomorrow
4 in progress
3 in queue</t>
  </si>
  <si>
    <t>25D New Features
Content creation and awaiting Sample Approval to continue recording
1 recorded
11 for tomorrow (awaiting Sample Approval)
0 in progress
1 in queue</t>
  </si>
  <si>
    <t>25D New Features
Content creation and awaiting Sample Approval to continue recording
1 recorded
11 for tomorrow (awaiting Sample Approval)
0 in progress
1 in queue
CSS FY26 October Stay Connected All Hands with Gary Miller</t>
  </si>
  <si>
    <t>25D New Features
Content creation and awaiting Sample Approval to continue recording
5 recorded
8 for tomorrow (awaiting Sample Approval)
0 in progress
0 in queue</t>
  </si>
  <si>
    <t>Live Session 28th t
Inside the AI Agent Studio: Live
25D New Features
Recording
Adjusting ppt's based on feedback
6 recorded
7 for tomorrow
0 in progress
0 in queue</t>
  </si>
  <si>
    <t>25D New Features
Recording
Adjusting ppt's based on feedback
10 recorded
3 for tomorrow
0 in progress
0 in queue</t>
  </si>
  <si>
    <t>25D New Features
Recording
Adjusting ppt's based on feedback
13 recorded
0 for tomorrow
0 in progress
0 in queue</t>
  </si>
  <si>
    <t>25D New Features
Recording
Awaiting Feedback</t>
  </si>
  <si>
    <t>ROLES Design Doc
Fast Formula
Extracting/
Importing Data m-f
Complete NF Assessment as needed</t>
  </si>
  <si>
    <r>
      <rPr>
        <sz val="10"/>
        <color rgb="FF000000"/>
        <rFont val="Calibri"/>
      </rPr>
      <t>AI Agent Studio Uplift m, w-f
Mon - Assessment
w-f Development
Pranay &amp; Akshatha</t>
    </r>
    <r>
      <rPr>
        <sz val="10"/>
        <color rgb="FFFF0000"/>
        <rFont val="Calibri"/>
      </rPr>
      <t xml:space="preserve"> </t>
    </r>
  </si>
  <si>
    <r>
      <rPr>
        <b/>
        <sz val="10"/>
        <color rgb="FFFF0000"/>
        <rFont val="Calibri"/>
      </rPr>
      <t xml:space="preserve">Holiday t
</t>
    </r>
    <r>
      <rPr>
        <sz val="10"/>
        <color rgb="FF000000"/>
        <rFont val="Calibri"/>
      </rPr>
      <t xml:space="preserve">
</t>
    </r>
  </si>
  <si>
    <r>
      <rPr>
        <sz val="10"/>
        <color rgb="FF000000"/>
        <rFont val="Calibri"/>
      </rPr>
      <t>AI Agent Studio Uplift m, w-f
Mon - Assessment
w-f Development
Pranay &amp; Akshatha</t>
    </r>
    <r>
      <rPr>
        <sz val="10"/>
        <color rgb="FFFF0000"/>
        <rFont val="Calibri"/>
      </rPr>
      <t xml:space="preserve"> 
Seeded Delivered Templates are not working - SR Submitted</t>
    </r>
  </si>
  <si>
    <r>
      <rPr>
        <b/>
        <sz val="10"/>
        <color rgb="FFFF0000"/>
        <rFont val="Calibri"/>
      </rPr>
      <t xml:space="preserve">OOO m
</t>
    </r>
    <r>
      <rPr>
        <sz val="10"/>
        <color rgb="FF000000"/>
        <rFont val="Calibri"/>
      </rPr>
      <t xml:space="preserve">
</t>
    </r>
  </si>
  <si>
    <t xml:space="preserve">AI Agent Studio Uplift m, w-f
Mon - Assessment
w-f Development
Pranay &amp; Akshatha </t>
  </si>
  <si>
    <t>AI Agent Studio Uplift m, w-f
Mon - Assessment
w-f Development
Pranay &amp; Akshatha 
Prep/Review Live Session
Adding new Content from latest update</t>
  </si>
  <si>
    <t xml:space="preserve">Live Session:
 AI Agent Studio: Live
AI Agent Studio Uplift m, w-f
Mon - Assessment
w-f Development
Pranay &amp; Akshatha </t>
  </si>
  <si>
    <t>CAD Payroll 2.0
Develop Content
AI Agent Studio Inquiries</t>
  </si>
  <si>
    <t>Holiday th-f</t>
  </si>
  <si>
    <t>CAD Payroll 2.0
Develop Content</t>
  </si>
  <si>
    <t>CAD Payroll 2.0
Develop Content
CPS Scoping</t>
  </si>
  <si>
    <r>
      <rPr>
        <b/>
        <sz val="10"/>
        <color rgb="FF000000"/>
        <rFont val="Aptos Narrow"/>
      </rPr>
      <t xml:space="preserve">Record AI Agent Studio Labs
</t>
    </r>
    <r>
      <rPr>
        <sz val="10"/>
        <color rgb="FF000000"/>
        <rFont val="Aptos Narrow"/>
      </rPr>
      <t>CPS Scoping</t>
    </r>
  </si>
  <si>
    <t>CPS Scoping
Memorial Hermann Hospital Scoping
AI Research</t>
  </si>
  <si>
    <t>26A BOM m-t</t>
  </si>
  <si>
    <t>CPS Tailoring
Memorial Hermann Hospital Tailoring
Impact Analysis Instruction Call
Q3 FY26 All Hands with Gary Miller Call
26A NF BOM Impact Analysis</t>
  </si>
  <si>
    <r>
      <rPr>
        <b/>
        <sz val="10"/>
        <color rgb="FFFF0000"/>
        <rFont val="Calibri"/>
      </rPr>
      <t xml:space="preserve">OOO pm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 xml:space="preserve">CPS Tailoring
Memorial Hermann Hospital Tailoring
26A NF Template Walkthrough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26A NF BOM Impact Analysis</t>
    </r>
  </si>
  <si>
    <t>CPS Tailoring
Memorial Hermann Hospital Tailoring
26A NF BOM Impact Analysis</t>
  </si>
  <si>
    <r>
      <rPr>
        <sz val="10"/>
        <color rgb="FF000000"/>
        <rFont val="Calibri"/>
      </rPr>
      <t xml:space="preserve">Record S Oracle Fusion Cloud HCM: Workflows and Approvals
Handoff Dec 19 - Handoff delayed until 26A
</t>
    </r>
    <r>
      <rPr>
        <b/>
        <sz val="10"/>
        <color rgb="FF000000"/>
        <rFont val="Calibri"/>
      </rPr>
      <t>Memorial Hermann Hospital Tailoring</t>
    </r>
  </si>
  <si>
    <r>
      <rPr>
        <sz val="10"/>
        <color rgb="FF000000"/>
        <rFont val="Calibri"/>
      </rPr>
      <t xml:space="preserve">Record S Oracle Fusion Cloud HCM: Workflows and Approvals
Handoff Dec 19 - Handoff delayed until Feb 26
</t>
    </r>
    <r>
      <rPr>
        <b/>
        <sz val="10"/>
        <color rgb="FF000000"/>
        <rFont val="Calibri"/>
      </rPr>
      <t>Memorial Hermann Hospital Tailoring</t>
    </r>
  </si>
  <si>
    <r>
      <rPr>
        <b/>
        <sz val="10"/>
        <color rgb="FFFF0000"/>
        <rFont val="Calibri"/>
      </rPr>
      <t xml:space="preserve">Holiday th
Winter Break f
</t>
    </r>
    <r>
      <rPr>
        <sz val="10"/>
        <color rgb="FFFF66FF"/>
        <rFont val="Calibri"/>
      </rPr>
      <t xml:space="preserve">
</t>
    </r>
  </si>
  <si>
    <t>Winter Break m-w
Holiday th</t>
  </si>
  <si>
    <t>26A NFs</t>
  </si>
  <si>
    <t>CPS PRV</t>
  </si>
  <si>
    <t>26A NFs
CPS PRV</t>
  </si>
  <si>
    <t>Memorial Hermann Hospital PRV Content Creation</t>
  </si>
  <si>
    <r>
      <rPr>
        <sz val="10"/>
        <color rgb="FF000000"/>
        <rFont val="Calibri"/>
      </rPr>
      <t xml:space="preserve">26A NFs
</t>
    </r>
    <r>
      <rPr>
        <b/>
        <sz val="10"/>
        <color rgb="FF000000"/>
        <rFont val="Calibri"/>
      </rPr>
      <t>26A NF BOM Impact Analysis</t>
    </r>
  </si>
  <si>
    <t>Memorial Hermann Hospital PRV</t>
  </si>
  <si>
    <r>
      <rPr>
        <b/>
        <sz val="10"/>
        <color rgb="FFFF0000"/>
        <rFont val="Calibri"/>
      </rPr>
      <t xml:space="preserve">MLK Day m 19th
</t>
    </r>
    <r>
      <rPr>
        <sz val="10"/>
        <color rgb="FF000000"/>
        <rFont val="Calibri"/>
      </rPr>
      <t xml:space="preserve">
</t>
    </r>
  </si>
  <si>
    <t>26A NFs
Navigator How-To Workshop</t>
  </si>
  <si>
    <r>
      <rPr>
        <b/>
        <sz val="10"/>
        <color rgb="FF000000"/>
        <rFont val="Calibri"/>
      </rPr>
      <t xml:space="preserve">Live Session th 22nd
AI Agent Studio: Live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26A NFs</t>
    </r>
  </si>
  <si>
    <t>26A NFs
Oracle AI Data Platform Essentials</t>
  </si>
  <si>
    <t>Building Agentic Workflows using Oracle AI Agent Studio
Travel Day
Oracle AI Data Platform Essentials</t>
  </si>
  <si>
    <t>Building Agentic Workflows using Oracle AI Agent Studio</t>
  </si>
  <si>
    <t>Evaluation &amp; Planning: Build Custom AI Agent for Hackathon
Design Doc: Oracle AI Agent Studio for Fusion Applications Developers Exploration</t>
  </si>
  <si>
    <t>Design Doc: Oracle AI Agent Studio for Fusion Applications Developers
Release in April</t>
  </si>
  <si>
    <t xml:space="preserve">Oracle AI Agent Studio for Fusion Applications - HCM AI Agent Foundations (3-Hour) Course Gap Analysis and Updated Design
Release in May
Awaiting Feedback on Design Doc: Oracle AI Agent Studio for Fusion Applications Developers
</t>
  </si>
  <si>
    <r>
      <rPr>
        <b/>
        <sz val="10"/>
        <color rgb="FFFF0000"/>
        <rFont val="Calibri"/>
      </rPr>
      <t xml:space="preserve">Presidents' Day m 16th
</t>
    </r>
    <r>
      <rPr>
        <i/>
        <sz val="10"/>
        <color rgb="FF000000"/>
        <rFont val="Calibri"/>
      </rPr>
      <t>Awaiting Feedback on Oracle AI Agent Studio for Fusion Applications - HCM AI Agent Foundations Course Gap Analysis and Updated Design</t>
    </r>
  </si>
  <si>
    <t>Finishing Revisions to AI Agent Studio for Fusion Applications Developers Design Doc
(Does not include Appendix / Additional Labs)
Release in April</t>
  </si>
  <si>
    <t>Finishing Revisions to AI Agent Studio for Fusion Applications Developers Design Doc
(Does not include Appendix / Additional Labs)
Update Oracle AI Agent Studio for Fusion Applications Developers
(Does not include Appendix / Additional Labs)
Release in April</t>
  </si>
  <si>
    <t>Update Oracle AI Agent Studio for Fusion Applications Developers
(Does not include Appendix / Additional Labs)
Release in April</t>
  </si>
  <si>
    <r>
      <rPr>
        <sz val="10"/>
        <color rgb="FF000000"/>
        <rFont val="Calibri"/>
      </rPr>
      <t xml:space="preserve">Update Oracle AI Agent Studio for Fusion Applications Developers
(Does not include Appendix / Additional Labs)
Release in April
</t>
    </r>
    <r>
      <rPr>
        <b/>
        <sz val="10"/>
        <color rgb="FF275317"/>
        <rFont val="Calibri"/>
      </rPr>
      <t>Finish Content Monday Feb 23
START RECORDING Monday March 2 - finish Fri 6th
March 9th to make any fixes with recordings</t>
    </r>
  </si>
  <si>
    <t>Recording Demos for Oracle AI Agent Studio for Fusion Applications Developers
(Does not include Appendix / Additional Labs)
Awaiting Content from Production
Release in April</t>
  </si>
  <si>
    <r>
      <rPr>
        <b/>
        <sz val="10"/>
        <color rgb="FF000000"/>
        <rFont val="Calibri"/>
      </rPr>
      <t xml:space="preserve">Live Session:
AI Agent Studio: Live
</t>
    </r>
    <r>
      <rPr>
        <sz val="10"/>
        <color rgb="FF000000"/>
        <rFont val="Calibri"/>
      </rPr>
      <t xml:space="preserve">
Recording Demos for Oracle AI Agent Studio for Fusion Applications Developers
(Does not include Appendix / Additional Labs)
Awaiting Content from Production
Release in April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</si>
  <si>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Oracle AI Agent Studio for Fusion Applications Developers
(Does not include Appendix / Additional Labs)
Release in April
</t>
    </r>
    <r>
      <rPr>
        <b/>
        <sz val="10"/>
        <color rgb="FF275317"/>
        <rFont val="Calibri"/>
      </rPr>
      <t>Finish Content Monday Feb 23
START RECORDING Monday March 2 - finish Fri 6th
March 9th to make any fixes with recordings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</si>
  <si>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AI Agent Studio for Fusion Applications Developers
(Does not include Appendix / Additional Labs)
Release in April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</si>
  <si>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Oracle AI Agent Studio for Fusion Applications Developers
(Does not include Appendix / Additional Labs)
Complete Recordings by March 4th assuming all materials are received by Friday Feb 27)
Release in April
</t>
    </r>
    <r>
      <rPr>
        <b/>
        <sz val="10"/>
        <color rgb="FF000000"/>
        <rFont val="Calibri"/>
      </rPr>
      <t>Review the updated AG's for the additional labs</t>
    </r>
  </si>
  <si>
    <t xml:space="preserve">EXAM
Oracle AI Agent Studio for Fusion Applications Developers
blue print of exam and questions - certification questions on Workflow Agents.
</t>
  </si>
  <si>
    <r>
      <rPr>
        <b/>
        <sz val="10"/>
        <color rgb="FF000000"/>
        <rFont val="Calibri"/>
      </rPr>
      <t xml:space="preserve">Review and Record:
</t>
    </r>
    <r>
      <rPr>
        <sz val="10"/>
        <color rgb="FF000000"/>
        <rFont val="Calibri"/>
      </rPr>
      <t xml:space="preserve">Updated AG and record for 3 of the additional labs
Release in April
</t>
    </r>
  </si>
  <si>
    <r>
      <rPr>
        <b/>
        <sz val="10"/>
        <color rgb="FF000000"/>
        <rFont val="Calibri"/>
      </rPr>
      <t xml:space="preserve">Record:
Make And Fixes to Recordings
</t>
    </r>
    <r>
      <rPr>
        <sz val="10"/>
        <color rgb="FF000000"/>
        <rFont val="Calibri"/>
      </rPr>
      <t>Oracle AI Agent Studio for Fusion Applications Developers
(Does not include Appendix / Additoinal Labs)
Release in April</t>
    </r>
  </si>
  <si>
    <t>VT Oracle Fusion Cloud HCM: Extracting Data</t>
  </si>
  <si>
    <r>
      <rPr>
        <b/>
        <sz val="10"/>
        <color rgb="FF000000"/>
        <rFont val="Calibri"/>
      </rPr>
      <t xml:space="preserve">AI Narration and Text2Speech:
CAD Payroll 2.0 25D
Latest Update of AI Developer Exams
</t>
    </r>
    <r>
      <rPr>
        <b/>
        <sz val="10"/>
        <color rgb="FFFF0000"/>
        <rFont val="Calibri"/>
      </rPr>
      <t xml:space="preserve">Use AI to Create Narration Script &amp; Validate for T2S
NOW ONLY HAVE tWO DAYS to gen narration script to send to T2S
</t>
    </r>
    <r>
      <rPr>
        <b/>
        <sz val="12"/>
        <color rgb="FFFF0000"/>
        <rFont val="Calibri"/>
      </rPr>
      <t>STILL HAVE TO ADD 2 days TO RECORD THE DEMOS and Intro Video</t>
    </r>
  </si>
  <si>
    <r>
      <rPr>
        <b/>
        <sz val="10"/>
        <color rgb="FF000000"/>
        <rFont val="Calibri"/>
      </rPr>
      <t xml:space="preserve">Review Demos for Canadian Payroll (2 days for demos)
Review Workflows &amp; Approvals for AI Agents
(Add Lesson to explain Agentic WOrkflows and how they can work with Legacy WOrkflows - there are no specific Agents
Update Design doc to address AI Agents (if necessary)
</t>
    </r>
    <r>
      <rPr>
        <sz val="10"/>
        <color rgb="FF000000"/>
        <rFont val="Calibri"/>
      </rPr>
      <t xml:space="preserve">S Oracle Fusion Cloud HCM: Workflows and Approvals
Handoff pushed to 26A from Infodev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b/>
        <sz val="10"/>
        <color rgb="FFFF0000"/>
        <rFont val="Calibri"/>
      </rPr>
      <t xml:space="preserve">
USE AI
2 days for Design Doc
Content -from prompts to gen slides and narration</t>
    </r>
  </si>
  <si>
    <t>26B BOM Assessment</t>
  </si>
  <si>
    <r>
      <rPr>
        <b/>
        <sz val="10"/>
        <color rgb="FF000000"/>
        <rFont val="Calibri"/>
      </rPr>
      <t xml:space="preserve">Design Doc - 1 day / Update Design doc to address AI Agents (if necessary) (OR RECORD if  no AI AGENTS)
</t>
    </r>
    <r>
      <rPr>
        <sz val="10"/>
        <color rgb="FF000000"/>
        <rFont val="Calibri"/>
      </rPr>
      <t xml:space="preserve">S Oracle Fusion Cloud HCM: Workflows and Approvals
Handoff pushed to 26A from Infodev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sz val="10"/>
        <color rgb="FF000000"/>
        <rFont val="Calibri"/>
      </rPr>
      <t xml:space="preserve">
Canadian Payroll T2S Script updates from Production Review</t>
    </r>
  </si>
  <si>
    <r>
      <rPr>
        <b/>
        <sz val="10"/>
        <color rgb="FF000000"/>
        <rFont val="Calibri"/>
      </rPr>
      <t xml:space="preserve">Content: Update content to address AI Agents/ Update Content (1 day) (OR RECORD if  no AI AGENTS)
</t>
    </r>
    <r>
      <rPr>
        <sz val="10"/>
        <color rgb="FF000000"/>
        <rFont val="Calibri"/>
      </rPr>
      <t xml:space="preserve">S Oracle Fusion Cloud HCM: Workflows and Approvals
Handoff pushed to 26A from Infodev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b/>
        <sz val="12"/>
        <color rgb="FF000000"/>
        <rFont val="Calibri"/>
      </rPr>
      <t xml:space="preserve">SEND NEW LESSON TO Production
</t>
    </r>
    <r>
      <rPr>
        <b/>
        <sz val="10"/>
        <color rgb="FFFF0000"/>
        <rFont val="Calibri"/>
      </rPr>
      <t xml:space="preserve">
</t>
    </r>
  </si>
  <si>
    <r>
      <rPr>
        <b/>
        <sz val="10"/>
        <color rgb="FF000000"/>
        <rFont val="Calibri"/>
      </rPr>
      <t xml:space="preserve">Record Lessons: 1-8, 10 (3 days)
</t>
    </r>
    <r>
      <rPr>
        <sz val="10"/>
        <color rgb="FF000000"/>
        <rFont val="Calibri"/>
      </rPr>
      <t xml:space="preserve">S Oracle Fusion Cloud HCM: Workflows and Approvals
Handoff pushed to 26A from Infodev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sz val="10"/>
        <color rgb="FF000000"/>
        <rFont val="Calibri"/>
      </rPr>
      <t>:</t>
    </r>
  </si>
  <si>
    <r>
      <rPr>
        <b/>
        <sz val="10"/>
        <color rgb="FF000000"/>
        <rFont val="Calibri"/>
      </rPr>
      <t xml:space="preserve">Record Lessons: 1-8, 10 (3 days)
</t>
    </r>
    <r>
      <rPr>
        <sz val="10"/>
        <color rgb="FF000000"/>
        <rFont val="Calibri"/>
      </rPr>
      <t xml:space="preserve">S Oracle Fusion Cloud HCM: Workflows and Approvals
Handoff pushed to 26A from Infodev
</t>
    </r>
    <r>
      <rPr>
        <b/>
        <sz val="10"/>
        <color rgb="FF000000"/>
        <rFont val="Calibri"/>
      </rPr>
      <t xml:space="preserve">Use AI  for Design Doc &amp; to Generate Content &amp; Narration
</t>
    </r>
  </si>
  <si>
    <r>
      <rPr>
        <b/>
        <sz val="10"/>
        <color rgb="FF000000"/>
        <rFont val="Calibri"/>
      </rPr>
      <t xml:space="preserve">Gap Analysis &amp; Design Doc </t>
    </r>
    <r>
      <rPr>
        <sz val="10"/>
        <color rgb="FF000000"/>
        <rFont val="Calibri"/>
      </rPr>
      <t xml:space="preserve">for HCM Process Essentials to address AI Agents (if necessary)
2 days for Design Doc
Content-from prompts to gen slides and narration - have optimatl timeline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b/>
        <sz val="10"/>
        <color rgb="FFFF0000"/>
        <rFont val="Calibri"/>
      </rPr>
      <t>USE AI
2 days for Design Doc
Content - from prompts to gen slides and narration</t>
    </r>
  </si>
  <si>
    <r>
      <rPr>
        <b/>
        <sz val="10"/>
        <color rgb="FF000000"/>
        <rFont val="Calibri"/>
      </rPr>
      <t xml:space="preserve">Gap Analysis &amp; Design Doc </t>
    </r>
    <r>
      <rPr>
        <sz val="10"/>
        <color rgb="FF000000"/>
        <rFont val="Calibri"/>
      </rPr>
      <t xml:space="preserve">for HCM Process Essentials to address AI Agents (if necessary)
2 days for Design Doc
Content-from prompts to gen slides and narration - have optimatl timeline
</t>
    </r>
    <r>
      <rPr>
        <b/>
        <sz val="10"/>
        <color rgb="FF000000"/>
        <rFont val="Calibri"/>
      </rPr>
      <t xml:space="preserve">Use AI  for Design Doc &amp; to Generate Content &amp; Narration
</t>
    </r>
    <r>
      <rPr>
        <b/>
        <sz val="10"/>
        <color rgb="FFFF0000"/>
        <rFont val="Calibri"/>
      </rPr>
      <t xml:space="preserve">USE AI
2 days for Design Doc
Content - from prompts to gen slides and narration
</t>
    </r>
    <r>
      <rPr>
        <b/>
        <sz val="16"/>
        <color rgb="FF000000"/>
        <rFont val="Calibri"/>
      </rPr>
      <t>CHECK ON CA APRIL SESSION</t>
    </r>
  </si>
  <si>
    <t>Oracle AI Agent Studio for Fusion Applications Developers
Exam Health Check (HCM SME &amp; general questions)</t>
  </si>
  <si>
    <t>PTO</t>
  </si>
  <si>
    <t>26B BOM Finalisation &amp; Environment Assessment</t>
  </si>
  <si>
    <t>26B New Feature Approach- Unboxing Pilot</t>
  </si>
  <si>
    <t>26B NF Development &amp; Recording</t>
  </si>
  <si>
    <t>Agentic Apps Course Content Creation &amp; Recording (Common Video (pillar agnostic))</t>
  </si>
  <si>
    <t>Agentic Apps Course Content Creation &amp; Recording</t>
  </si>
  <si>
    <t xml:space="preserve">Agentic Apps &amp; 26B NF Development &amp; Recording
</t>
  </si>
  <si>
    <t>Agentic Apps Course Content Recording
26B Unboxing</t>
  </si>
  <si>
    <r>
      <rPr>
        <b/>
        <sz val="10"/>
        <color rgb="FF000000"/>
        <rFont val="Calibri"/>
      </rPr>
      <t xml:space="preserve">LIVE SESSION:
</t>
    </r>
    <r>
      <rPr>
        <sz val="10"/>
        <color rgb="FF000000"/>
        <rFont val="Calibri"/>
      </rPr>
      <t xml:space="preserve">AI Agent Studio: Live
</t>
    </r>
    <r>
      <rPr>
        <b/>
        <sz val="10"/>
        <color rgb="FF000000"/>
        <rFont val="Calibri"/>
      </rPr>
      <t>Agentic Apps Course Content Recording</t>
    </r>
  </si>
  <si>
    <r>
      <rPr>
        <b/>
        <sz val="10"/>
        <color rgb="FF000000"/>
        <rFont val="Calibri"/>
      </rPr>
      <t>Design Doc:</t>
    </r>
    <r>
      <rPr>
        <sz val="10"/>
        <color rgb="FF000000"/>
        <rFont val="Calibri"/>
      </rPr>
      <t xml:space="preserve">  HCM: Intergations for Implementation Consultants
</t>
    </r>
  </si>
  <si>
    <t>Design Doc:  HCM: Intergations for Implementation Consultants</t>
  </si>
  <si>
    <r>
      <rPr>
        <b/>
        <sz val="10"/>
        <color rgb="FF000000"/>
        <rFont val="Calibri"/>
      </rPr>
      <t xml:space="preserve">Demos &amp; Intro for Text2Speech:
</t>
    </r>
    <r>
      <rPr>
        <sz val="10"/>
        <color rgb="FF000000"/>
        <rFont val="Calibri"/>
      </rPr>
      <t>CAD Payroll 2.0 25D (3 days)</t>
    </r>
  </si>
  <si>
    <t xml:space="preserve">EXAM 26B Uplift : 1050-25 - Payroll Peer Review
</t>
  </si>
  <si>
    <t>Exam 26B Uplift : 1049-25 - Compensation- Peer Review</t>
  </si>
  <si>
    <r>
      <rPr>
        <b/>
        <sz val="10"/>
        <color rgb="FF000000"/>
        <rFont val="Calibri"/>
      </rPr>
      <t xml:space="preserve">Design Doc: </t>
    </r>
    <r>
      <rPr>
        <sz val="10"/>
        <color rgb="FF000000"/>
        <rFont val="Calibri"/>
      </rPr>
      <t>Oracle Fusion Cloud HCM: Extracting Data &amp; Oracle Fusion Cloud HCM: Importing Data</t>
    </r>
  </si>
  <si>
    <t>Content Dev:  HCM: Intergations for Implementation Consultants</t>
  </si>
  <si>
    <r>
      <rPr>
        <b/>
        <sz val="10"/>
        <color rgb="FF000000"/>
        <rFont val="Calibri"/>
      </rPr>
      <t xml:space="preserve">Design Doc Fixes: </t>
    </r>
    <r>
      <rPr>
        <sz val="10"/>
        <color rgb="FF000000"/>
        <rFont val="Calibri"/>
      </rPr>
      <t>Oracle Fusion Cloud HCM: Extracting Data &amp; Oracle Fusion Cloud HCM: Importing Data</t>
    </r>
  </si>
  <si>
    <t>Content Dev:  HCM: Intergations for Implementation Consultants Develop Skill &amp; T2S</t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</si>
  <si>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>Oracle Fusion Cloud HCM: Extracting Data &amp; Oracle Fusion Cloud HCM: Importing Data</t>
    </r>
  </si>
  <si>
    <t> Memorial Day	05/25/2026</t>
  </si>
  <si>
    <r>
      <rPr>
        <b/>
        <sz val="10"/>
        <color rgb="FF000000"/>
        <rFont val="Calibri"/>
      </rPr>
      <t>Content Dev</t>
    </r>
    <r>
      <rPr>
        <sz val="10"/>
        <color rgb="FF000000"/>
        <rFont val="Calibri"/>
      </rPr>
      <t>: AI for HCM Intro Video (Agentic Apps)</t>
    </r>
  </si>
  <si>
    <t>Community Challenge Questions on Agentic AI (5 questions)</t>
  </si>
  <si>
    <t>6/9 Live Session Content Prep &amp; Perf Rev</t>
  </si>
  <si>
    <r>
      <rPr>
        <b/>
        <sz val="10"/>
        <color rgb="FF000000"/>
        <rFont val="Calibri"/>
      </rPr>
      <t xml:space="preserve">Design Doc:  HCM </t>
    </r>
    <r>
      <rPr>
        <sz val="10"/>
        <color rgb="FF000000"/>
        <rFont val="Calibri"/>
      </rPr>
      <t>Fast Formula</t>
    </r>
  </si>
  <si>
    <r>
      <rPr>
        <b/>
        <sz val="10"/>
        <color rgb="FF000000"/>
        <rFont val="Calibri"/>
      </rPr>
      <t xml:space="preserve">Recording: </t>
    </r>
    <r>
      <rPr>
        <sz val="10"/>
        <color rgb="FF000000"/>
        <rFont val="Calibri"/>
      </rPr>
      <t xml:space="preserve"> Oracle Fusion Cloud HCM: Importing Data</t>
    </r>
  </si>
  <si>
    <r>
      <rPr>
        <b/>
        <sz val="10"/>
        <color rgb="FF000000"/>
        <rFont val="Calibri"/>
      </rPr>
      <t xml:space="preserve">Recording: </t>
    </r>
    <r>
      <rPr>
        <sz val="10"/>
        <color rgb="FF000000"/>
        <rFont val="Calibri"/>
      </rPr>
      <t xml:space="preserve"> Oracle Fusion Cloud HCM: Extracting Data</t>
    </r>
  </si>
  <si>
    <t>26C BOM Update</t>
  </si>
  <si>
    <t>Design Doc:McKinsey Masterclass</t>
  </si>
  <si>
    <t>Juneteenth Holiday - US</t>
  </si>
  <si>
    <t>Recording AI for HCM Intro Video (Agentic Apps)</t>
  </si>
  <si>
    <r>
      <rPr>
        <b/>
        <sz val="10"/>
        <color rgb="FF000000"/>
        <rFont val="Calibri"/>
      </rPr>
      <t xml:space="preserve">Design Doc Fixes:  HCM </t>
    </r>
    <r>
      <rPr>
        <sz val="10"/>
        <color rgb="FF000000"/>
        <rFont val="Calibri"/>
      </rPr>
      <t>Fast Formula</t>
    </r>
  </si>
  <si>
    <r>
      <rPr>
        <b/>
        <sz val="10"/>
        <color rgb="FF000000"/>
        <rFont val="Calibri"/>
      </rPr>
      <t xml:space="preserve">Content:  </t>
    </r>
    <r>
      <rPr>
        <sz val="10"/>
        <color rgb="FF000000"/>
        <rFont val="Calibri"/>
      </rPr>
      <t>Fast Formula</t>
    </r>
  </si>
  <si>
    <r>
      <rPr>
        <b/>
        <sz val="10"/>
        <color rgb="FF000000"/>
        <rFont val="Calibri"/>
      </rPr>
      <t>Impact Assessment:</t>
    </r>
    <r>
      <rPr>
        <sz val="10"/>
        <color rgb="FF000000"/>
        <rFont val="Calibri"/>
      </rPr>
      <t xml:space="preserve"> OTBI courses and Analytics Pub (Target to have 1 course for Analytics &amp; Reporting in HCM; Strategy doc created for scope)</t>
    </r>
  </si>
  <si>
    <r>
      <rPr>
        <b/>
        <sz val="10"/>
        <color rgb="FF000000"/>
        <rFont val="Calibri"/>
      </rPr>
      <t>Design Doc:</t>
    </r>
    <r>
      <rPr>
        <sz val="10"/>
        <color rgb="FF000000"/>
        <rFont val="Calibri"/>
      </rPr>
      <t xml:space="preserve"> OTBI courses and Analytics Pub (Target to have 1 course for Analytics &amp; Reporting in HCM; Strategy doc created for scope)</t>
    </r>
  </si>
  <si>
    <t xml:space="preserve">NF Temp Prep, FY27 Compliance, Portfolio Review </t>
  </si>
  <si>
    <t>Independence Day (Observed) - US</t>
  </si>
  <si>
    <t>KPMG AI Agent Cert Prep Training Delivery Onsite</t>
  </si>
  <si>
    <r>
      <rPr>
        <sz val="10"/>
        <color rgb="FF000000"/>
        <rFont val="Calibri"/>
      </rPr>
      <t xml:space="preserve">26C NF </t>
    </r>
    <r>
      <rPr>
        <b/>
        <sz val="10"/>
        <color rgb="FF000000"/>
        <rFont val="Calibri"/>
      </rPr>
      <t>Analyze in Env</t>
    </r>
  </si>
  <si>
    <t>26C NF (16 features; 3 features per day; 6 days)</t>
  </si>
  <si>
    <t>AIAS AG Test (4 days)</t>
  </si>
  <si>
    <t>Travel:  Austin Partner Event:  AI Agent Studio</t>
  </si>
  <si>
    <t>Inperson:  Austin Partner Event:  AI Agent Studio</t>
  </si>
  <si>
    <r>
      <rPr>
        <b/>
        <sz val="10"/>
        <color rgb="FF000000"/>
        <rFont val="Calibri"/>
      </rPr>
      <t xml:space="preserve">Design Doc:  </t>
    </r>
    <r>
      <rPr>
        <sz val="10"/>
        <color rgb="FF000000"/>
        <rFont val="Calibri"/>
      </rPr>
      <t>AIAS Studio 26C
McKinsey/Charter presentation: Demo Review</t>
    </r>
  </si>
  <si>
    <r>
      <rPr>
        <b/>
        <sz val="10"/>
        <color rgb="FF000000"/>
        <rFont val="Calibri"/>
      </rPr>
      <t xml:space="preserve">Design Doc:  </t>
    </r>
    <r>
      <rPr>
        <sz val="10"/>
        <color rgb="FF000000"/>
        <rFont val="Calibri"/>
      </rPr>
      <t>AIAS Studio 26C</t>
    </r>
  </si>
  <si>
    <t>Live Session Prep Day</t>
  </si>
  <si>
    <t>Live Session: Inside the AI Agent Studio</t>
  </si>
  <si>
    <r>
      <rPr>
        <b/>
        <sz val="10"/>
        <color rgb="FF000000"/>
        <rFont val="Calibri"/>
      </rPr>
      <t xml:space="preserve">Content Dev:  </t>
    </r>
    <r>
      <rPr>
        <sz val="10"/>
        <color rgb="FF000000"/>
        <rFont val="Calibri"/>
      </rPr>
      <t>AIAS 26C</t>
    </r>
  </si>
  <si>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>AIAS 26C</t>
    </r>
  </si>
  <si>
    <t>Partner Session Prep</t>
  </si>
  <si>
    <t>HOLD eOPN Partner Event (Ruchika POC)</t>
  </si>
  <si>
    <t>Labor Day - US</t>
  </si>
  <si>
    <t>Develop:  AIAS 26C</t>
  </si>
  <si>
    <t>26D BOM Analysis &amp; Updates</t>
  </si>
  <si>
    <t>AI World Content Prep</t>
  </si>
  <si>
    <t>26D NFs Cont Dev + Record</t>
  </si>
  <si>
    <t>26D NFs Environment Check</t>
  </si>
  <si>
    <t>Develop:  AIAS 26C Developer Exam</t>
  </si>
  <si>
    <t>Save the date: Oracle AI World 2026
October 25-28, 2026 | Las Vegas, NV</t>
  </si>
  <si>
    <r>
      <rPr>
        <b/>
        <sz val="10"/>
        <color rgb="FF000000"/>
        <rFont val="Calibri"/>
      </rPr>
      <t xml:space="preserve">Record: </t>
    </r>
    <r>
      <rPr>
        <sz val="10"/>
        <color rgb="FF000000"/>
        <rFont val="Calibri"/>
      </rPr>
      <t>Fast Formula demos/labs</t>
    </r>
  </si>
  <si>
    <r>
      <rPr>
        <b/>
        <sz val="10"/>
        <color rgb="FF000000"/>
        <rFont val="Aptos Narrow"/>
        <scheme val="minor"/>
      </rPr>
      <t xml:space="preserve">Design Doc:  </t>
    </r>
    <r>
      <rPr>
        <sz val="10"/>
        <color rgb="FF000000"/>
        <rFont val="Aptos Narrow"/>
        <scheme val="minor"/>
      </rPr>
      <t>HCM Process Essentials</t>
    </r>
  </si>
  <si>
    <t>Live Session - Dec 10</t>
  </si>
  <si>
    <t>Roles Gap Recording (if completed by InfoDev
m, w-f
ORIG NOV 10 - on hold</t>
  </si>
  <si>
    <t>25D New Features
EXPLORE
Checking Environment (70)
CSS AI Training - 1 Day
Communities
&amp; Direct from Community  Managers</t>
  </si>
  <si>
    <t>HCM PRP
Steve NF Chat Working Session
25D New Features
EXPLORE
Checking Environment (70)
Communities
&amp; Direct from Community  Managers</t>
  </si>
  <si>
    <t>Walkthrough: 25D Unboxing &amp; NF Template
25D New Features
EXPLORE
Checking Environment (70)
Communities
&amp; Direct from Community  Managers</t>
  </si>
  <si>
    <t>Steve NF Chat Working Session
25D New Features
EXPLORE
Checking Environment (70)
Sample Recording
Content Creation
Communities
&amp; Direct from Community  Managers</t>
  </si>
  <si>
    <t>25D New Features
EXPLORE
Checking Environment (70)
Content Creation
Awaiting feedback on Sample Recording
Communities
&amp; Direct from Community  Managers</t>
  </si>
  <si>
    <t>COMPLETE AI Certification
25D New Features
EXPLORE
Checking Environment (65)
Awaiting Final Template
Recording Demos
0 recorded
0 for tomorrow
63 in progress
0 in queue
0 Outstanding Issues with Demo Services
0 Completed
Following up with other CDL's on questions they had re related content
Communities
&amp; Direct from Community  Managers</t>
  </si>
  <si>
    <t>HCP PRP
25D New Features
EXPLORE
Checking Environment (65)
Awaiting Final Template
Recording Demos
0 recorded
0 for tomorrow
63 in progress
0 in queue
0 Outstanding Issues with Demo Services
2 Completed
Following up with other CDL's on questions they had re related content
Communities
&amp; Direct from Community  Managers</t>
  </si>
  <si>
    <t>25D New Features
EXPLORE
Checking Environment (65)
Awaiting Final Template
Recording Demos
8 recorded
8 for tomorrow
0 in progress
45 in queue
2 Outstanding Issues with Demo Services
2 Completed
Follow up with Product &amp; Demo Services
Following up with other CDL's on questions they had re related content
Communities
&amp; Direct from Community  Managers</t>
  </si>
  <si>
    <t>25D New Features
EXPLORE
Checking Environment (65)
Recording Demos
8 recorded
8 for tomorrow
0 in progress
39 in queue
0 Outstanding Issues with Demo Services
10 Completed
Follow up with Product &amp; Demo Services
Following up with other CDL's on questions they had re related content
Communities
&amp; Direct from Community  Managers</t>
  </si>
  <si>
    <t>25D New Features
EXPLORE
Checking Environment (65)
Recording Demos
8 recorded
8 for tomorrow
0 in progress
31 in queue
0 Outstanding Issues with Demo Services
18 Completed
Follow up with Product &amp; Demo Services
Following up with other CDL's on questions they had re related content
Communities
&amp; Direct from Community  Managers</t>
  </si>
  <si>
    <t>25D New Features
EXPLORE
Checking Environment (65)
Recording Demos
8 recorded
8 for tomorrow
0 in progress
23 in queue
0 Outstanding Issues with Demo Services
26 Completed
Follow up with Product &amp; Demo Services
Following up with other CDL's on questions they had re related content
Communities
&amp; Direct from Community  Managers</t>
  </si>
  <si>
    <t>HCM PRP
DGE Instructor Mentoring
25D New Features
EXPLORE
Checking Environment (65)
Recording Demos
8 recorded
8 for tomorrow
0 in progress
15 in queue
0 Outstanding Issues with Demo Services
34 Completed
Follow up with Product &amp; Demo Services
Following up with other CDL's on questions they had re related content
Communities
&amp; Direct from Community  Managers</t>
  </si>
  <si>
    <t>25D New Features
EXPLORE
Checking Environment (65)
Recording Demos
8 recorded
8 for tomorrow
0 in progress
7 in queue
0 Outstanding Issues with Demo Services
42 Completed
Follow up with Product &amp; Demo Services
Following up with other CDL's on questions they had re related content
Communities
&amp; Direct from Community  Managers</t>
  </si>
  <si>
    <t>CSS FY26 October Stay Connected All Hands with Gary Miller
2 CLS Live Sessions
AI in HCM
25D New Features
EXPLORE
Checking Environment (65)
Recording Demos
8 recorded
7 for tomorrow
0 in progress
0 in queue
0 Outstanding Issues with Demo Services
50 Completed
Follow up with Product &amp; Demo Services
Following up with other CDL's on questions they had re related content
Communities
&amp; Direct from Community  Managers</t>
  </si>
  <si>
    <r>
      <t>25D New Features
EXPLORE
Checking Environment (65)
Recording Demos
7 recorded
0 for tomorrow
0 in progress
0 in queue
0 Outstanding Issues with Demo Services
58 Completed</t>
    </r>
    <r>
      <rPr>
        <b/>
        <sz val="10"/>
        <color rgb="FF000000"/>
        <rFont val="Aptos Narrow"/>
        <family val="2"/>
      </rPr>
      <t xml:space="preserve">
(and on the 8th day he rested)</t>
    </r>
    <r>
      <rPr>
        <sz val="10"/>
        <color rgb="FF000000"/>
        <rFont val="Aptos Narrow"/>
        <family val="2"/>
      </rPr>
      <t xml:space="preserve">
Follow up with Product &amp; Demo Services
Following up with other CDL's on questions they had re related content
Communities
&amp; Direct from Community  Managers</t>
    </r>
  </si>
  <si>
    <t xml:space="preserve"> AI Agent Studio Session
Reading, UK</t>
  </si>
  <si>
    <t xml:space="preserve"> AI Agent Studio Session
Reading, UK
Live Session AI for HCM
AUST Time</t>
  </si>
  <si>
    <t>Travel</t>
  </si>
  <si>
    <t>Catch up</t>
  </si>
  <si>
    <r>
      <rPr>
        <b/>
        <sz val="10"/>
        <color rgb="FF000000"/>
        <rFont val="Aptos Narrow"/>
      </rPr>
      <t xml:space="preserve">Live Session th
Flexible Reporting in Redwood Dashboards
</t>
    </r>
    <r>
      <rPr>
        <b/>
        <sz val="10"/>
        <color rgb="FFFF0000"/>
        <rFont val="Aptos Narrow"/>
      </rPr>
      <t xml:space="preserve">
Complete NF Assessment as needed
</t>
    </r>
    <r>
      <rPr>
        <b/>
        <sz val="10"/>
        <color rgb="FF000000"/>
        <rFont val="Aptos Narrow"/>
      </rPr>
      <t xml:space="preserve">
ROLES Design Doc
Fast Formula
Extracting/
Importing Data m-w, f
</t>
    </r>
    <r>
      <rPr>
        <b/>
        <i/>
        <sz val="10"/>
        <color rgb="FF000000"/>
        <rFont val="Aptos Narrow"/>
      </rPr>
      <t xml:space="preserve">
Mitchells &amp; Buttlers  - UK
OTBI/Adv OTBI
m-w 3-5
m-w 10-12</t>
    </r>
  </si>
  <si>
    <t xml:space="preserve">
</t>
  </si>
  <si>
    <t xml:space="preserve">
Mitchells &amp; Buttlers  - UK
OTBI/Adv OTBI
11th Nov</t>
  </si>
  <si>
    <t>Navigator w &amp; f 12th &amp; 14th</t>
  </si>
  <si>
    <t>Live Session th 13th
AI (Artificial Intelligence) in HCM
Communities (3 hours)</t>
  </si>
  <si>
    <t>Navigator m-f
Communities
Scoping DGE</t>
  </si>
  <si>
    <t>UK Payroll 2.0
RECORD
Absence Exam Questions m-t 24-25 (Review 10 per Pranay)</t>
  </si>
  <si>
    <t>UK Payroll 2.0
RECORD
Booking Request sent Nov 26</t>
  </si>
  <si>
    <t>Absence Management Exam Health Check</t>
  </si>
  <si>
    <t>INFODEV RECORDING:
S Oracle Fusion Cloud HCM: Configure Profile Management (25B) (3 - 1.15)</t>
  </si>
  <si>
    <t>INFODEV RECORDING:
S Oracle Fusion Cloud HCM: Configure Profile Management (25B) (3 - 1.15)
Booking Request Submitted 12/03
Review and Test 26a NF Template
HPE Exam for Talent</t>
  </si>
  <si>
    <t>Review and Test 26a NF Template
HPE Exam for Talent</t>
  </si>
  <si>
    <t>HPE Exam for Talent
Review and Test 26a NF Template
CPS Scoping
Memorial Hermann Hospital Scoping
Explore FAIDP
AI Assistant for Oracle Fusion AI Data Platform</t>
  </si>
  <si>
    <t>26A BOM m-t
53 of 63 with demos
Completed</t>
  </si>
  <si>
    <t xml:space="preserve">HPE Exam for Talent
</t>
  </si>
  <si>
    <r>
      <rPr>
        <b/>
        <sz val="10"/>
        <color rgb="FF000000"/>
        <rFont val="Aptos Narrow"/>
      </rPr>
      <t xml:space="preserve">STC Scoping
Impact Analysis Instruction Call
Q3 FY26 All Hands with Gary Miller Call
</t>
    </r>
    <r>
      <rPr>
        <sz val="10"/>
        <color rgb="FF000000"/>
        <rFont val="Aptos Narrow"/>
      </rPr>
      <t xml:space="preserve">
HPE Exam for Talent
</t>
    </r>
    <r>
      <rPr>
        <b/>
        <sz val="10"/>
        <color rgb="FF000000"/>
        <rFont val="Aptos Narrow"/>
      </rPr>
      <t>26A NF BOM Impact Analysis</t>
    </r>
  </si>
  <si>
    <r>
      <rPr>
        <sz val="10"/>
        <color rgb="FF000000"/>
        <rFont val="Aptos Narrow"/>
      </rPr>
      <t xml:space="preserve">HPE Exam for Talent
</t>
    </r>
    <r>
      <rPr>
        <b/>
        <sz val="10"/>
        <color rgb="FF000000"/>
        <rFont val="Aptos Narrow"/>
      </rPr>
      <t xml:space="preserve">26A NF Template Walkthrough
</t>
    </r>
    <r>
      <rPr>
        <sz val="10"/>
        <color rgb="FF000000"/>
        <rFont val="Aptos Narrow"/>
      </rPr>
      <t xml:space="preserve">
</t>
    </r>
    <r>
      <rPr>
        <b/>
        <sz val="10"/>
        <color rgb="FF000000"/>
        <rFont val="Aptos Narrow"/>
      </rPr>
      <t>26A NF BOM Impact Analysis</t>
    </r>
  </si>
  <si>
    <r>
      <rPr>
        <sz val="10"/>
        <color rgb="FF000000"/>
        <rFont val="Aptos Narrow"/>
      </rPr>
      <t xml:space="preserve">HPE Exam for Talent
</t>
    </r>
    <r>
      <rPr>
        <b/>
        <sz val="10"/>
        <color rgb="FF000000"/>
        <rFont val="Aptos Narrow"/>
      </rPr>
      <t>26A NF BOM Impact Analysis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</si>
  <si>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Fusion Cloud HCM: Absence Management
Handoff Dec 09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</si>
  <si>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Fusion Cloud HCM: Absence Management
Handoff Dec 09
2025-12-23 Booking Request</t>
    </r>
  </si>
  <si>
    <t>Record:
Oracle HCM Cloud: Human Resources Help Desk
16 Lessons
14 Labs
(Materials sched to be available
 10-Sep)</t>
  </si>
  <si>
    <t>Record:
Oracle HCM Cloud: Human Resources Help Desk
16 Lessons
14 Labs
(Materials sched to be available
 10-Sep)
Booking Request submitted</t>
  </si>
  <si>
    <r>
      <rPr>
        <b/>
        <sz val="10"/>
        <color rgb="FFFF0000"/>
        <rFont val="Calibri"/>
      </rPr>
      <t xml:space="preserve">Holiday th
</t>
    </r>
    <r>
      <rPr>
        <b/>
        <sz val="10"/>
        <color rgb="FF000000"/>
        <rFont val="Calibri"/>
      </rPr>
      <t xml:space="preserve">
</t>
    </r>
  </si>
  <si>
    <t>Dublin Airport Authority
Analytics Publisher
26A NFs
Talent Management HPE Exam Items</t>
  </si>
  <si>
    <t>26A NFs
Live Session th 8th
AI (Artificial Intelligence) in HCM
Talent Management HPE Exam Items</t>
  </si>
  <si>
    <t>26A NFs
Talent Management HPE Exam Items</t>
  </si>
  <si>
    <t xml:space="preserve">Dublin Airport Authority
Analytics Publisher
</t>
  </si>
  <si>
    <t>26A NFs
Live Sessions th 15th
AI (Artificial Intelligence) in HCM</t>
  </si>
  <si>
    <r>
      <rPr>
        <sz val="10"/>
        <color rgb="FF000000"/>
        <rFont val="Calibri"/>
      </rPr>
      <t xml:space="preserve">26A NFs
</t>
    </r>
    <r>
      <rPr>
        <b/>
        <sz val="10"/>
        <color rgb="FF000000"/>
        <rFont val="Calibri"/>
      </rPr>
      <t>Navigator How-To Workshop</t>
    </r>
  </si>
  <si>
    <t>Talent HPE Exam</t>
  </si>
  <si>
    <t>Navigator NF</t>
  </si>
  <si>
    <t>Navigator NF
FSM call with Vidya and VP of FSM to update/demo on the upcoming AI capability in FSM</t>
  </si>
  <si>
    <t>Navigator NF
Talent HPE Exam</t>
  </si>
  <si>
    <t>Review the VT results for Configure Goal &amp; Profile Management to resolve issues</t>
  </si>
  <si>
    <r>
      <rPr>
        <b/>
        <sz val="10"/>
        <color rgb="FF000000"/>
        <rFont val="Calibri"/>
      </rPr>
      <t xml:space="preserve">Live Session - Conduent
</t>
    </r>
    <r>
      <rPr>
        <sz val="10"/>
        <color rgb="FF000000"/>
        <rFont val="Calibri"/>
      </rPr>
      <t>AI (Artificial Intelligence) in HCM
Review the VT results for Configure Goal &amp; Profile Management to resolve issues</t>
    </r>
  </si>
  <si>
    <t xml:space="preserve">Design:
Oracle AI in Fusion Cloud Human Capital Management (HCM)
</t>
  </si>
  <si>
    <r>
      <rPr>
        <sz val="10"/>
        <color rgb="FF000000"/>
        <rFont val="Calibri"/>
      </rPr>
      <t xml:space="preserve">Design:
Oracle AI in Fusion Cloud Human Capital Management (HCM)
</t>
    </r>
    <r>
      <rPr>
        <b/>
        <sz val="10"/>
        <color rgb="FFFF0000"/>
        <rFont val="Calibri"/>
      </rPr>
      <t>Design Review must be completed by COB Feb 17</t>
    </r>
  </si>
  <si>
    <t>Awaiting Fixes / Changes to Oracle AI in Fusion Cloud Human Capital Management (HCM) Design Doc</t>
  </si>
  <si>
    <t>Fixes / Changes to Oracle AI in Fusion Cloud Human Capital Management (HCM) Design Doc</t>
  </si>
  <si>
    <t>Update:
Oracle AI in Fusion Cloud Human Capital Management (HCM)
3 Days Required</t>
  </si>
  <si>
    <r>
      <rPr>
        <sz val="10"/>
        <color rgb="FF000000"/>
        <rFont val="Calibri"/>
      </rPr>
      <t xml:space="preserve">Update:
Oracle AI in Fusion Cloud Human Capital Management (HCM)
3 Days Required
</t>
    </r>
    <r>
      <rPr>
        <b/>
        <sz val="10"/>
        <color rgb="FFFF0000"/>
        <rFont val="Calibri"/>
      </rPr>
      <t>Production Files DUE NO LATER than COB March 09th</t>
    </r>
  </si>
  <si>
    <t>Talent Prep
Do Not Change</t>
  </si>
  <si>
    <r>
      <rPr>
        <b/>
        <sz val="10"/>
        <color rgb="FF000000"/>
        <rFont val="Calibri"/>
      </rPr>
      <t xml:space="preserve">Live Session:
AI (Artificial Intelligence) in HCM
</t>
    </r>
    <r>
      <rPr>
        <sz val="10"/>
        <color rgb="FF000000"/>
        <rFont val="Calibri"/>
      </rPr>
      <t xml:space="preserve">
Talent Prep
Do Not Change</t>
    </r>
  </si>
  <si>
    <t>Talent Prep
VT Oracle Fusion Cloud HCM: Configure Goal and Performance Management
Do Not Change</t>
  </si>
  <si>
    <t>PTO March 5th-9th</t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</si>
  <si>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AI in Fusion Cloud Human Capital Management (HCM)
3 Days Required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</si>
  <si>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AI in Fusion Cloud Human Capital Management (HCM)
3 Days Required
Booking Request sent 3/11</t>
    </r>
  </si>
  <si>
    <t>Talent Prep
Do Not Change</t>
  </si>
  <si>
    <r>
      <rPr>
        <sz val="10"/>
        <color rgb="FF000000"/>
        <rFont val="Calibri"/>
      </rPr>
      <t xml:space="preserve">2026 Exam Uplift : 1047-25 - Oracle Absence Management
Day 1 of 6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</si>
  <si>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2026 Exam Uplift : 1047-25 - Oracle Absence Management
Day 2 of 6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</si>
  <si>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2026 Exam Uplift : 1047-25 - Oracle Absence Management
Day 3 of 6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</si>
  <si>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2026 Exam Uplift : 1047-25 - Oracle Absence Management
Day 4 of 6
</t>
    </r>
    <r>
      <rPr>
        <b/>
        <sz val="10"/>
        <color rgb="FFFF0000"/>
        <rFont val="Calibri"/>
      </rPr>
      <t>Non-OU PEER REVIEW REQUIRED (Day 5)
DUE NO LATER than COB March 31st</t>
    </r>
  </si>
  <si>
    <r>
      <rPr>
        <sz val="10"/>
        <color rgb="FF000000"/>
        <rFont val="Calibri"/>
      </rPr>
      <t xml:space="preserve">26A Item Writing : 1052-25 - Oracle Talent Management
Day 1 of 3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</si>
  <si>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26A Item Writing : 1052-25 - Oracle Talent Management
Day 2 of 3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</si>
  <si>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26A Item Writing : 1052-25 - Oracle Talent Management
Day 3 of 3
</t>
    </r>
    <r>
      <rPr>
        <b/>
        <sz val="10"/>
        <color rgb="FFFF0000"/>
        <rFont val="Calibri"/>
      </rPr>
      <t>Non_OU PEER REVIEW REQUIRED
DUE NO LATER than COB April 1st</t>
    </r>
  </si>
  <si>
    <t>VT issues with the 'Oracle Fusion Cloud HCM: Configure Goal and Performance Management'</t>
  </si>
  <si>
    <r>
      <rPr>
        <b/>
        <sz val="10"/>
        <color rgb="FF000000"/>
        <rFont val="Calibri"/>
      </rPr>
      <t>Design:</t>
    </r>
    <r>
      <rPr>
        <sz val="10"/>
        <color rgb="FF000000"/>
        <rFont val="Calibri"/>
      </rPr>
      <t xml:space="preserve"> Configure Goal and Performance Management
USE AI
2 days for Design Doc
Content - from prompts to gen slides and narration - have optimal timeline</t>
    </r>
  </si>
  <si>
    <r>
      <rPr>
        <sz val="10"/>
        <color rgb="FF000000"/>
        <rFont val="Calibri"/>
      </rPr>
      <t xml:space="preserve">2026 Exam Uplift : 1047-25 - Oracle Absence Management
Day 6 of 6
Assessing / Applying Review Feedback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</si>
  <si>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26A Item Writing : 1052-25 - Oracle Talent Management
Assessing / Applying Review Feedback
</t>
    </r>
    <r>
      <rPr>
        <b/>
        <sz val="10"/>
        <color rgb="FFFF0000"/>
        <rFont val="Calibri"/>
      </rPr>
      <t xml:space="preserve"> DO NOT MOVE for ANY REASON </t>
    </r>
  </si>
  <si>
    <t>Good Friday	04/03/2026</t>
  </si>
  <si>
    <t>Easter Monday	04/06/2026</t>
  </si>
  <si>
    <r>
      <rPr>
        <sz val="10"/>
        <color rgb="FF000000"/>
        <rFont val="Calibri"/>
      </rPr>
      <t xml:space="preserve">26B NF Development &amp; Recording
</t>
    </r>
    <r>
      <rPr>
        <b/>
        <sz val="10"/>
        <color rgb="FF000000"/>
        <rFont val="Calibri"/>
      </rPr>
      <t>Discovery and Design skills Testing (2 -3 HRS)</t>
    </r>
  </si>
  <si>
    <t>Agentic Apps Course Content Creation &amp; Recording (2)</t>
  </si>
  <si>
    <r>
      <rPr>
        <b/>
        <sz val="10"/>
        <color rgb="FF000000"/>
        <rFont val="Calibri"/>
      </rPr>
      <t xml:space="preserve">LIVE SESSION:
</t>
    </r>
    <r>
      <rPr>
        <sz val="10"/>
        <color rgb="FF000000"/>
        <rFont val="Calibri"/>
      </rPr>
      <t>AI (Artificial Intelligence) in HCM
26B NF Development &amp; Recording</t>
    </r>
  </si>
  <si>
    <t>Agentic Apps Course Content Creation &amp; Recording
Ove ARUP- Training- 1.30pm to 5.30 pm UK Time</t>
  </si>
  <si>
    <t>Admin Day
Agentic Apps Course Content Creation &amp; Recording</t>
  </si>
  <si>
    <t>Early May Bank Holiday	05/04/2026</t>
  </si>
  <si>
    <t>Exam 26B Uplift : 1047-25 - Oracle Absence Management
Day 1</t>
  </si>
  <si>
    <t>Exam 26B Uplift : 1047-25 - Oracle Absence Management
Day 2</t>
  </si>
  <si>
    <r>
      <rPr>
        <b/>
        <i/>
        <strike/>
        <sz val="10"/>
        <color rgb="FF000000"/>
        <rFont val="Calibri"/>
      </rPr>
      <t xml:space="preserve">Record: 
</t>
    </r>
    <r>
      <rPr>
        <i/>
        <strike/>
        <sz val="10"/>
        <color rgb="FF000000"/>
        <rFont val="Calibri"/>
      </rPr>
      <t xml:space="preserve">Absence Management 26A
</t>
    </r>
    <r>
      <rPr>
        <i/>
        <sz val="10"/>
        <color rgb="FF000000"/>
        <rFont val="Calibri"/>
      </rPr>
      <t xml:space="preserve">
EXAM 26B Uplift : 1050-25 - Payroll Peer Review
Exam 26B Uplift : 1047-25 - Oracle Absence Management
Day 3</t>
    </r>
  </si>
  <si>
    <t>Exam 26B Uplift : 1047-25 - Oracle Absence Management
Day 4</t>
  </si>
  <si>
    <t>Oracle Fusion Cloud HCM: Foundations of OTBI Customer ONSITE- PREP Day</t>
  </si>
  <si>
    <r>
      <rPr>
        <strike/>
        <sz val="10"/>
        <color rgb="FF000000"/>
        <rFont val="Calibri"/>
      </rPr>
      <t xml:space="preserve">Navigator NF Content - Setup Required Features
</t>
    </r>
    <r>
      <rPr>
        <sz val="10"/>
        <color rgb="FF000000"/>
        <rFont val="Calibri"/>
      </rPr>
      <t xml:space="preserve">
Oracle Fusion Cloud HCM: Foundations of OTBI Customer ONSITE</t>
    </r>
  </si>
  <si>
    <r>
      <rPr>
        <strike/>
        <sz val="10"/>
        <color rgb="FF000000"/>
        <rFont val="Calibri"/>
      </rPr>
      <t xml:space="preserve">Navigator NF Content - Setup Required Features
</t>
    </r>
    <r>
      <rPr>
        <sz val="10"/>
        <color rgb="FF000000"/>
        <rFont val="Calibri"/>
      </rPr>
      <t xml:space="preserve">
Oracle Fusion Cloud HCM: Advanced OTBI Techniques Customer ONSITE</t>
    </r>
  </si>
  <si>
    <r>
      <rPr>
        <sz val="10"/>
        <color rgb="FF000000"/>
        <rFont val="Calibri"/>
      </rPr>
      <t xml:space="preserve">
</t>
    </r>
    <r>
      <rPr>
        <sz val="10"/>
        <color rgb="FF000000"/>
        <rFont val="Calibri"/>
      </rPr>
      <t xml:space="preserve">
Exam- 1D0-1052-26-D- Oracle Talent Management
Day 1</t>
    </r>
  </si>
  <si>
    <t>Exam- 1D0-1052-26-D- Oracle Talent Management Day 2</t>
  </si>
  <si>
    <t>Exam- 1D0-1052-26-D- Oracle Talent Management Day 3</t>
  </si>
  <si>
    <t>Exam- 1D0-1052-26-D- Oracle Talent Management Day 4
Exam 26B Uplift : 1047-25 - Oracle Absence Management
Day 5 - Peer Review Fixes</t>
  </si>
  <si>
    <t>Navigator NF Content - Setup Required Features</t>
  </si>
  <si>
    <t> Spring Bank Holiday	05/25/2026</t>
  </si>
  <si>
    <t>Exam- 1D0-1052-26-D- Oracle Talent Management Day 5- Peer Review Fixes</t>
  </si>
  <si>
    <r>
      <rPr>
        <b/>
        <sz val="10"/>
        <color rgb="FF000000"/>
        <rFont val="Calibri"/>
      </rPr>
      <t>Design Doc:  Oracle Fusion Cloud HCM: Configure Goal and Performance Management (+AI</t>
    </r>
    <r>
      <rPr>
        <sz val="10"/>
        <color rgb="FF000000"/>
        <rFont val="Calibri"/>
      </rPr>
      <t>)</t>
    </r>
  </si>
  <si>
    <r>
      <rPr>
        <b/>
        <sz val="10"/>
        <color rgb="FF000000"/>
        <rFont val="Calibri"/>
      </rPr>
      <t xml:space="preserve">Design Doc:  </t>
    </r>
    <r>
      <rPr>
        <sz val="10"/>
        <color rgb="FF000000"/>
        <rFont val="Calibri"/>
      </rPr>
      <t>Configure Profile Management (AI)</t>
    </r>
  </si>
  <si>
    <r>
      <rPr>
        <b/>
        <sz val="10"/>
        <color rgb="FF000000"/>
        <rFont val="Calibri"/>
      </rPr>
      <t>Design Doc Review Fixes:  Oracle Fusion Cloud HCM: Configure Goal and Performance Management (+AI</t>
    </r>
    <r>
      <rPr>
        <sz val="10"/>
        <color rgb="FF000000"/>
        <rFont val="Calibri"/>
      </rPr>
      <t>)</t>
    </r>
  </si>
  <si>
    <r>
      <rPr>
        <b/>
        <sz val="10"/>
        <color rgb="FF000000"/>
        <rFont val="Calibri"/>
      </rPr>
      <t xml:space="preserve">Design Doc Review Fixes:  </t>
    </r>
    <r>
      <rPr>
        <sz val="10"/>
        <color rgb="FF000000"/>
        <rFont val="Calibri"/>
      </rPr>
      <t>Configure Profile Management (AI)</t>
    </r>
  </si>
  <si>
    <r>
      <rPr>
        <b/>
        <sz val="10"/>
        <color rgb="FF000000"/>
        <rFont val="Calibri"/>
      </rPr>
      <t>Content Dev:  Oracle Fusion Cloud HCM: Configure Goal and Performance Management (+AI</t>
    </r>
    <r>
      <rPr>
        <sz val="10"/>
        <color rgb="FF000000"/>
        <rFont val="Calibri"/>
      </rPr>
      <t>)</t>
    </r>
  </si>
  <si>
    <t>Delta Exam Uplift:  Time and Labor</t>
  </si>
  <si>
    <t>Live Session - June 25</t>
  </si>
  <si>
    <t>Recording: Configure Goals and Performance Management,</t>
  </si>
  <si>
    <r>
      <rPr>
        <b/>
        <sz val="10"/>
        <color rgb="FF000000"/>
        <rFont val="Calibri"/>
      </rPr>
      <t xml:space="preserve">Content Dev:  </t>
    </r>
    <r>
      <rPr>
        <sz val="10"/>
        <color rgb="FF000000"/>
        <rFont val="Calibri"/>
      </rPr>
      <t>Configure Profile Management (AI)</t>
    </r>
  </si>
  <si>
    <r>
      <rPr>
        <b/>
        <strike/>
        <sz val="10"/>
        <color rgb="FF000000"/>
        <rFont val="Calibri"/>
      </rPr>
      <t>Content Dev Fixes:  Oracle Fusion Cloud HCM: Configure Goal and Performance Management (+AI</t>
    </r>
    <r>
      <rPr>
        <strike/>
        <sz val="10"/>
        <color rgb="FF000000"/>
        <rFont val="Calibri"/>
      </rPr>
      <t xml:space="preserve">)
</t>
    </r>
    <r>
      <rPr>
        <b/>
        <sz val="10"/>
        <color rgb="FF000000"/>
        <rFont val="Calibri"/>
      </rPr>
      <t>eOPN Partner Event - Prep Day</t>
    </r>
  </si>
  <si>
    <r>
      <rPr>
        <b/>
        <sz val="10"/>
        <color rgb="FF000000"/>
        <rFont val="Calibri"/>
      </rPr>
      <t>Record:  Oracle Fusion Cloud HCM: Configure Goal and Performance Management (+AI</t>
    </r>
    <r>
      <rPr>
        <sz val="10"/>
        <color rgb="FF000000"/>
        <rFont val="Calibri"/>
      </rPr>
      <t>)</t>
    </r>
  </si>
  <si>
    <r>
      <rPr>
        <sz val="10"/>
        <color rgb="FF000000"/>
        <rFont val="Calibri"/>
      </rPr>
      <t xml:space="preserve">AM: 26C NF
</t>
    </r>
    <r>
      <rPr>
        <b/>
        <sz val="10"/>
        <color rgb="FF000000"/>
        <rFont val="Calibri"/>
      </rPr>
      <t>PM: eOPN Partner Event (Ruchika POC) Elevate your OTBI and BIP Reporting</t>
    </r>
  </si>
  <si>
    <t>26C NF  (45 NF identified for development)</t>
  </si>
  <si>
    <t>Portfolio Review Meeting Prep</t>
  </si>
  <si>
    <r>
      <rPr>
        <sz val="10"/>
        <color rgb="FF000000"/>
        <rFont val="Calibri"/>
      </rPr>
      <t xml:space="preserve">26C NF  (45 NF identified for development)
</t>
    </r>
    <r>
      <rPr>
        <b/>
        <sz val="10"/>
        <color rgb="FF000000"/>
        <rFont val="Calibri"/>
      </rPr>
      <t>Portfolio Review Meeting</t>
    </r>
  </si>
  <si>
    <r>
      <rPr>
        <b/>
        <sz val="10"/>
        <color rgb="FF000000"/>
        <rFont val="Calibri"/>
      </rPr>
      <t xml:space="preserve">Navigator: </t>
    </r>
    <r>
      <rPr>
        <sz val="10"/>
        <color rgb="FF000000"/>
        <rFont val="Calibri"/>
      </rPr>
      <t xml:space="preserve"> Delivered Enabled Features (26C) (1 day placeholder)</t>
    </r>
  </si>
  <si>
    <r>
      <t>Record:  Oracle Fusion Cloud HCM: Configure Goal and Performance Management (+AI</t>
    </r>
    <r>
      <rPr>
        <sz val="10"/>
        <color rgb="FF000000"/>
        <rFont val="Calibri"/>
        <family val="2"/>
      </rPr>
      <t>)</t>
    </r>
  </si>
  <si>
    <r>
      <t>Content Review Fixes:  Oracle Fusion Cloud HCM: Configure Profile Management (+AI</t>
    </r>
    <r>
      <rPr>
        <sz val="10"/>
        <color rgb="FF000000"/>
        <rFont val="Calibri"/>
        <family val="2"/>
      </rPr>
      <t>)</t>
    </r>
  </si>
  <si>
    <r>
      <t>Record:  Oracle Fusion Cloud HCM: Configure Profile Management (+AI</t>
    </r>
    <r>
      <rPr>
        <sz val="10"/>
        <color rgb="FF000000"/>
        <rFont val="Calibri"/>
        <family val="2"/>
      </rPr>
      <t>)</t>
    </r>
  </si>
  <si>
    <r>
      <rPr>
        <b/>
        <sz val="10"/>
        <color rgb="FF000000"/>
        <rFont val="Calibri"/>
      </rPr>
      <t>Design Doc:</t>
    </r>
    <r>
      <rPr>
        <sz val="10"/>
        <color rgb="FF000000"/>
        <rFont val="Calibri"/>
      </rPr>
      <t xml:space="preserve">  Oracle Fusion Cloud HCM: Succession Management and Talent Review</t>
    </r>
  </si>
  <si>
    <r>
      <rPr>
        <b/>
        <sz val="10"/>
        <color rgb="FF000000"/>
        <rFont val="Calibri"/>
      </rPr>
      <t>Develop:</t>
    </r>
    <r>
      <rPr>
        <sz val="10"/>
        <color rgb="FF000000"/>
        <rFont val="Calibri"/>
      </rPr>
      <t xml:space="preserve">  Oracle Fusion Cloud HCM: Succession Management and Talent Review</t>
    </r>
  </si>
  <si>
    <t>AI Agent Studio Partner Workshop- In Person</t>
  </si>
  <si>
    <r>
      <rPr>
        <b/>
        <sz val="10"/>
        <color rgb="FF000000"/>
        <rFont val="Calibri"/>
      </rPr>
      <t xml:space="preserve">Design Doc: Oracle AI in Fusion Cloud HCM
</t>
    </r>
    <r>
      <rPr>
        <sz val="10"/>
        <color rgb="FF000000"/>
        <rFont val="Calibri"/>
      </rPr>
      <t xml:space="preserve">
</t>
    </r>
  </si>
  <si>
    <t>Design Doc: Oracle AI in Fusion Cloud HCM</t>
  </si>
  <si>
    <r>
      <rPr>
        <b/>
        <sz val="10"/>
        <color rgb="FF000000"/>
        <rFont val="Calibri"/>
      </rPr>
      <t>Content Dev:</t>
    </r>
    <r>
      <rPr>
        <sz val="10"/>
        <color rgb="FF000000"/>
        <rFont val="Calibri"/>
      </rPr>
      <t xml:space="preserve">  AI for HCM </t>
    </r>
  </si>
  <si>
    <t>Navigator Project - August Release (9 use cases)</t>
  </si>
  <si>
    <r>
      <rPr>
        <b/>
        <sz val="10"/>
        <color rgb="FF000000"/>
        <rFont val="Calibri"/>
      </rPr>
      <t xml:space="preserve">Navigator Project - August Release (9 use cases)
</t>
    </r>
    <r>
      <rPr>
        <sz val="10"/>
        <color rgb="FFE97132"/>
        <rFont val="Calibri"/>
      </rPr>
      <t>Live Session: AI in HCM</t>
    </r>
  </si>
  <si>
    <t>Summer Bank Holiday UK</t>
  </si>
  <si>
    <r>
      <rPr>
        <b/>
        <sz val="10"/>
        <color rgb="FF000000"/>
        <rFont val="Calibri"/>
      </rPr>
      <t xml:space="preserve">Content Dev:  </t>
    </r>
    <r>
      <rPr>
        <sz val="10"/>
        <color rgb="FF000000"/>
        <rFont val="Calibri"/>
      </rPr>
      <t xml:space="preserve">AI for HCM </t>
    </r>
  </si>
  <si>
    <r>
      <rPr>
        <b/>
        <sz val="10"/>
        <color rgb="FF000000"/>
        <rFont val="Calibri"/>
      </rPr>
      <t xml:space="preserve">LAB DEV: </t>
    </r>
    <r>
      <rPr>
        <sz val="10"/>
        <color rgb="FF000000"/>
        <rFont val="Calibri"/>
      </rPr>
      <t xml:space="preserve"> AI for HCM</t>
    </r>
  </si>
  <si>
    <r>
      <rPr>
        <b/>
        <sz val="10"/>
        <color rgb="FF000000"/>
        <rFont val="Calibri"/>
      </rPr>
      <t xml:space="preserve">Develop:  </t>
    </r>
    <r>
      <rPr>
        <sz val="10"/>
        <color rgb="FF000000"/>
        <rFont val="Calibri"/>
      </rPr>
      <t xml:space="preserve">Oracle Fusion Cloud HCM: Succession Management and Talent Review
</t>
    </r>
    <r>
      <rPr>
        <b/>
        <sz val="10"/>
        <color rgb="FF000000"/>
        <rFont val="Calibri"/>
      </rPr>
      <t>Record:</t>
    </r>
    <r>
      <rPr>
        <sz val="10"/>
        <color rgb="FF000000"/>
        <rFont val="Calibri"/>
      </rPr>
      <t xml:space="preserve">  Intro to AI for HCM (half day)</t>
    </r>
  </si>
  <si>
    <r>
      <rPr>
        <b/>
        <sz val="10"/>
        <color rgb="FF000000"/>
        <rFont val="Calibri"/>
      </rPr>
      <t xml:space="preserve">Pilot Uplift Process Design Doc:  </t>
    </r>
    <r>
      <rPr>
        <sz val="10"/>
        <color rgb="FF000000"/>
        <rFont val="Calibri"/>
      </rPr>
      <t>Oracle Fusion Cloud HCM: Career Development</t>
    </r>
  </si>
  <si>
    <r>
      <t xml:space="preserve">Design Doc:  </t>
    </r>
    <r>
      <rPr>
        <sz val="11"/>
        <color rgb="FF000000"/>
        <rFont val="Calibri"/>
        <family val="2"/>
      </rPr>
      <t>Oracle Fusion Cloud HCM: Career Development</t>
    </r>
  </si>
  <si>
    <r>
      <rPr>
        <b/>
        <sz val="11"/>
        <color rgb="FF000000"/>
        <rFont val="Calibri"/>
      </rPr>
      <t xml:space="preserve">Design Doc:  </t>
    </r>
    <r>
      <rPr>
        <sz val="11"/>
        <color rgb="FF000000"/>
        <rFont val="Calibri"/>
      </rPr>
      <t>Oracle Fusion Cloud HCM: Career Development</t>
    </r>
  </si>
  <si>
    <t>AI for HCM Record</t>
  </si>
  <si>
    <t>26D NFs Cont Dev + Record (helpdesk)</t>
  </si>
  <si>
    <r>
      <rPr>
        <b/>
        <sz val="10"/>
        <color rgb="FF000000"/>
        <rFont val="Calibri"/>
      </rPr>
      <t>Record:</t>
    </r>
    <r>
      <rPr>
        <sz val="10"/>
        <color rgb="FF000000"/>
        <rFont val="Calibri"/>
      </rPr>
      <t xml:space="preserve">  Oracle Fusion Cloud HCM: Succession Management and Talent Review</t>
    </r>
  </si>
  <si>
    <r>
      <rPr>
        <b/>
        <sz val="10"/>
        <color rgb="FF000000"/>
        <rFont val="Aptos Narrow"/>
        <scheme val="minor"/>
      </rPr>
      <t xml:space="preserve">CLS Live Session - Oct 20
Record:  </t>
    </r>
    <r>
      <rPr>
        <sz val="10"/>
        <color rgb="FF000000"/>
        <rFont val="Aptos Narrow"/>
        <scheme val="minor"/>
      </rPr>
      <t>Oracle Fusion Cloud HCM: Succession Management and Talent Review</t>
    </r>
  </si>
  <si>
    <t>Content Dev:  Career Development</t>
  </si>
  <si>
    <t>Record:  Career Development</t>
  </si>
  <si>
    <t>Applied Learning for Extending
Vendor creating Design Doc
Nigel to review
which challenge maps to which lesson - just to the infodev extensibility course (Neha &amp; Suj checking)</t>
  </si>
  <si>
    <t>ROLES Design Doc
Fast Formula
Extracting/
Importing Data</t>
  </si>
  <si>
    <t>Next Absence will be 25B</t>
  </si>
  <si>
    <t>25D New Features
EXPLORE
Checking Environment
(64)</t>
  </si>
  <si>
    <t>HCM PRP
25D New Features
EXPLORE
Checking Environment
(64)</t>
  </si>
  <si>
    <t>Walkthrough: 25D Unboxing &amp; NF Template
25D New Features
EXPLORE
Checking Environment
(64)</t>
  </si>
  <si>
    <t>Steve NF Chat Working Session
25D New Features
EXPLORE
Checking Environment
(64)
1 SR's Created</t>
  </si>
  <si>
    <t>25D New Features (41)
Content Creation
ppt sent for approval
0 recorded
0 for tomorrow
0 in progress
41 in queue
0 Outstanding Issues with Demo Services
Follow up with Product &amp; Demo Services and SR's - most of the day
Following up with other CDL's on questions they had re related content</t>
  </si>
  <si>
    <t>HCP PRP
Live Session Oct 14th t
Coaching Session - Setting Up Users and Security in Recruiting
25D New Features (41)
Content Creation
awaiting approval for sample ppt
0 recorded
0 for tomorrow
0 in progress
41 in queue
0 Outstanding Issues with Demo Services
Follow up with Product &amp; Demo Services and SR's - most of the day
Following up with other CDL's on questions they had re related content</t>
  </si>
  <si>
    <t>25D New Features (41)
Content Creation
sample ppt approved
0 recorded
0 for tomorrow
0 in progress
41 in queue
0 Outstanding Issues with Demo Services
Reach out to Product &amp; Demo Services
Follow up with Product &amp; Demo Services and SR's - most of the day
Following up with other CDL's on questions they had re related content</t>
  </si>
  <si>
    <t>PTO f</t>
  </si>
  <si>
    <t>25D New Features (41)
Content Creation
sample recording
2 recorded
4 for tomorrow
32 in progress
2 in queue
0 Outstanding Issues with Demo Services
Follow up with Product &amp; Demo Services and SR's
2 SR's Created
Following up with other CDL's on questions they had re related content</t>
  </si>
  <si>
    <t>HCM PRP
25D New Features (41)
Content Creation
sample recording
2 recorded
4 for tomorrow
32 in progress
2 in queue
0 Outstanding Issues with Demo Services
Follow up with Product &amp; Demo Services and SR's
Following up with other CDL's on questions they had re related content</t>
  </si>
  <si>
    <t>25D New Features (41)
Content Creation
sample recording
1 recorded
5 for tomorrow
30 in progress (ppt created
2 in queue
0 Outstanding Issues with Demo Services
3 done
Follow up with Product &amp; Demo Services and SR's
1 SR's Created
Following up with other CDL's on questions they had re related content</t>
  </si>
  <si>
    <t>25D New Features (41)
Content Creation
sample recording
0 recorded
5 for tomorrow
30 in progress (ppt created
2 in queue
0 Outstanding Issues with Demo Services
4 done
Follow up with Product &amp; Demo Services and SR's - most of the day
1 SR's Created
Following up with other CDL's on questions they had re related content
CSS FY26 October Stay Connected All Hands with Gary Miller</t>
  </si>
  <si>
    <t>25D New Features (41)
Content Creation
sample recording
0 recorded
5 for tomorrow
30 in progress (ppt created
2 in queue
0 Outstanding Issues with Demo Services
4 done
Follow up with Product &amp; Demo Services and SR's - most of the day
Following up with other CDL's on questions they had re related content</t>
  </si>
  <si>
    <t>HCP PRP
25D New Features (41)
Content Creation
sample recording
(Includes Prior Weekend)
9 recorded
4 for tomorrow
22 in progress (ppt created
2 in queue
0 Outstanding Issues with Demo Services
4 done
Follow up with Product &amp; Demo Services and SR's
Following up with other CDL's on questions they had re related content</t>
  </si>
  <si>
    <t>25D New Features (41)
Content Creation
4 recorded
3 for tomorrow
9 in progress (ppt created
10 Outstanding Issues with Demo Services
3 in queue
12 done
Follow up with Product &amp; Demo Services and SR's
Following up with other CDL's on questions they had re related content</t>
  </si>
  <si>
    <t>25D New Features (41)
Content Creation
3 recorded
4 for tomorrow
7 in progress (ppt created
8 Outstanding Issues with Demo Services
3 in queue
16 done
Follow up with Product &amp; Demo Services and SR's
Following up with other CDL's on questions they had re related content</t>
  </si>
  <si>
    <t>25D New Features (41)
Content Creation
couldn't record due to env issues
Troubleshooting
Follow up with Product &amp; Demo Services and SR's
Following up with other CDL's on questions they had re related content</t>
  </si>
  <si>
    <t>25D New Features (41)
Content Creation
FRIDAY-SUNDAY
10 recorded
 for tomorrow
4 in progress (ppt created
8 Outstanding Issues with Demo Services
19 done
Follow up with Product &amp; Demo Services and SR's
Following up with other CDL's on questions they had re related content</t>
  </si>
  <si>
    <r>
      <t>TBD</t>
    </r>
    <r>
      <rPr>
        <b/>
        <sz val="10"/>
        <color rgb="FFFF0000"/>
        <rFont val="Calibri"/>
        <family val="2"/>
      </rPr>
      <t xml:space="preserve">
Complete NF Assessment as needed</t>
    </r>
  </si>
  <si>
    <t xml:space="preserve">Update Applied Learning Develop:
Oracle Fusion Cloud HCM: Recruiting
and
exam health check for Recruiting
</t>
  </si>
  <si>
    <t>Holiday t</t>
  </si>
  <si>
    <r>
      <rPr>
        <sz val="10"/>
        <color rgb="FF000000"/>
        <rFont val="Calibri"/>
      </rPr>
      <t xml:space="preserve">Update Applied Learning Develop:
Oracle Fusion Cloud HCM: Recruiting
and
exam health check for Recruiting
</t>
    </r>
    <r>
      <rPr>
        <b/>
        <sz val="10"/>
        <color rgb="FFFF0000"/>
        <rFont val="Calibri"/>
      </rPr>
      <t xml:space="preserve">
PTO th 1/2 day</t>
    </r>
  </si>
  <si>
    <t>Oracle Fusion Cloud HCM: Recruiting Exam Healthcheck
Update Applied Learning Develop:
Oracle Fusion Cloud HCM: Recruiting
Communities</t>
  </si>
  <si>
    <t>Recruiting Delta Questions</t>
  </si>
  <si>
    <t>Recruiting Delta Questions
Recruiting HPE 3 Sample Questions &amp; Review</t>
  </si>
  <si>
    <t xml:space="preserve">Recruting HPE 3 Sample Questions &amp; Review
CPS Scoping
</t>
  </si>
  <si>
    <t>OOO f</t>
  </si>
  <si>
    <t>Recruting HPE Questions
CPS Scoping
Memorial Hermann Hospital Scoping</t>
  </si>
  <si>
    <t>Recruiting HPE Questions
CPS Scoping
Memorial Hermann Hospital Scoping</t>
  </si>
  <si>
    <t>Recruiting HPE Questions
Prep Live Session New Content
Getting Started Building a Career Site</t>
  </si>
  <si>
    <t>26A BOM m-w
Completed</t>
  </si>
  <si>
    <r>
      <rPr>
        <b/>
        <sz val="10"/>
        <color rgb="FF0D0D0D"/>
        <rFont val="Calibri"/>
      </rPr>
      <t xml:space="preserve">26A NF BOM Impact Analysis
</t>
    </r>
    <r>
      <rPr>
        <sz val="10"/>
        <color rgb="FF0D0D0D"/>
        <rFont val="Calibri"/>
      </rPr>
      <t xml:space="preserve">
Live Session t Dec 16
Getting Started Building a Career Site
</t>
    </r>
    <r>
      <rPr>
        <b/>
        <sz val="10"/>
        <color rgb="FF0D0D0D"/>
        <rFont val="Calibri"/>
      </rPr>
      <t>CPS Tailoring</t>
    </r>
  </si>
  <si>
    <t xml:space="preserve">CPS Tailoring
Memorial Hermann Hospital Tailoring
Impact Analysis Instruction Call
Q3 FY26 All Hands with Gary Miller Call
26A NF BOM Impact Analysis
</t>
  </si>
  <si>
    <r>
      <rPr>
        <b/>
        <sz val="10"/>
        <color rgb="FF000000"/>
        <rFont val="Calibri"/>
      </rPr>
      <t xml:space="preserve">CPS Tailoring
Memorial Hermann Hospital Tailoring
26A NF Template Walkthrough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26A NF BOM Impact Analysis</t>
    </r>
  </si>
  <si>
    <t>26A NFs - Pre-work</t>
  </si>
  <si>
    <t>Holiday th
Winter Break f</t>
  </si>
  <si>
    <r>
      <rPr>
        <sz val="10"/>
        <color rgb="FF000000"/>
        <rFont val="Calibri"/>
      </rPr>
      <t xml:space="preserve">26A NFs
</t>
    </r>
    <r>
      <rPr>
        <b/>
        <sz val="10"/>
        <color rgb="FF000000"/>
        <rFont val="Calibri"/>
      </rPr>
      <t>26A BOM</t>
    </r>
  </si>
  <si>
    <t>MLK Day m 19th</t>
  </si>
  <si>
    <t>Recruiting HPE Exam</t>
  </si>
  <si>
    <r>
      <rPr>
        <b/>
        <sz val="10"/>
        <color rgb="FFFF0000"/>
        <rFont val="Calibri"/>
      </rPr>
      <t xml:space="preserve">OOO am
</t>
    </r>
    <r>
      <rPr>
        <sz val="10"/>
        <color rgb="FF000000"/>
        <rFont val="Calibri"/>
      </rPr>
      <t xml:space="preserve">
Recruiting HPE Exam
Troubleshooting NF AI Agent Issues</t>
    </r>
  </si>
  <si>
    <r>
      <rPr>
        <b/>
        <sz val="10"/>
        <color rgb="FF000000"/>
        <rFont val="Calibri"/>
      </rPr>
      <t xml:space="preserve">Recruiting 26A NF Impact Analysis
Design:
</t>
    </r>
    <r>
      <rPr>
        <sz val="10"/>
        <color rgb="FF000000"/>
        <rFont val="Calibri"/>
      </rPr>
      <t>Oracle Fusion Cloud HCM: Recruiting 26A</t>
    </r>
  </si>
  <si>
    <r>
      <rPr>
        <b/>
        <sz val="10"/>
        <color rgb="FF000000"/>
        <rFont val="Calibri"/>
      </rPr>
      <t xml:space="preserve">Design:
</t>
    </r>
    <r>
      <rPr>
        <sz val="10"/>
        <color rgb="FF000000"/>
        <rFont val="Calibri"/>
      </rPr>
      <t>Oracle Fusion Cloud HCM: Recruiting 26A
Recruiting HPE Exam</t>
    </r>
  </si>
  <si>
    <r>
      <rPr>
        <b/>
        <sz val="10"/>
        <color rgb="FF000000"/>
        <rFont val="Calibri"/>
      </rPr>
      <t xml:space="preserve">Design:
</t>
    </r>
    <r>
      <rPr>
        <sz val="10"/>
        <color rgb="FF000000"/>
        <rFont val="Calibri"/>
      </rPr>
      <t>Oracle Fusion Cloud HCM: Recruiting 26A</t>
    </r>
  </si>
  <si>
    <r>
      <rPr>
        <b/>
        <sz val="10"/>
        <color rgb="FF000000"/>
        <rFont val="Calibri"/>
      </rPr>
      <t xml:space="preserve">Live Session:
Optimizing Your Candidate Selection Process
</t>
    </r>
    <r>
      <rPr>
        <sz val="10"/>
        <color rgb="FF000000"/>
        <rFont val="Calibri"/>
      </rPr>
      <t xml:space="preserve">
Navigator NF</t>
    </r>
  </si>
  <si>
    <t>Presidents' Day m 16th</t>
  </si>
  <si>
    <r>
      <rPr>
        <b/>
        <sz val="10"/>
        <color rgb="FF000000"/>
        <rFont val="Calibri"/>
      </rPr>
      <t xml:space="preserve">Live Session - Conduent
Redwood in Recruiting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Fixes</t>
    </r>
    <r>
      <rPr>
        <sz val="10"/>
        <color rgb="FF000000"/>
        <rFont val="Calibri"/>
      </rPr>
      <t xml:space="preserve"> to Design:
Oracle Fusion Cloud HCM: Recruiting 26A</t>
    </r>
  </si>
  <si>
    <r>
      <rPr>
        <b/>
        <sz val="10"/>
        <color rgb="FF000000"/>
        <rFont val="Calibri"/>
      </rPr>
      <t xml:space="preserve">Uplift:
</t>
    </r>
    <r>
      <rPr>
        <sz val="10"/>
        <color rgb="FF000000"/>
        <rFont val="Calibri"/>
      </rPr>
      <t>Oracle Fusion Cloud HCM: Recruiting 26A</t>
    </r>
  </si>
  <si>
    <r>
      <rPr>
        <b/>
        <sz val="10"/>
        <color rgb="FF000000"/>
        <rFont val="Calibri"/>
      </rPr>
      <t xml:space="preserve">Uplift:
</t>
    </r>
    <r>
      <rPr>
        <sz val="10"/>
        <color rgb="FF000000"/>
        <rFont val="Calibri"/>
      </rPr>
      <t>Oracle Fusion Cloud HCM: Recruiting 26A
(Complete Navigator now that data is available)</t>
    </r>
  </si>
  <si>
    <r>
      <rPr>
        <sz val="10"/>
        <color rgb="FF000000"/>
        <rFont val="Calibri"/>
      </rPr>
      <t xml:space="preserve"> 2026 Exam Uplift : 1069-25 - Recruiting
Day 1 of 3
</t>
    </r>
    <r>
      <rPr>
        <b/>
        <sz val="10"/>
        <color rgb="FFFF0000"/>
        <rFont val="Calibri"/>
      </rPr>
      <t xml:space="preserve"> DO NOT MOVE for ANY REASON 
</t>
    </r>
    <r>
      <rPr>
        <sz val="10"/>
        <color rgb="FF000000"/>
        <rFont val="Calibri"/>
      </rPr>
      <t xml:space="preserve">
Awaiting Production of Oracle Fusion Cloud HCM: Recruiting 26A</t>
    </r>
  </si>
  <si>
    <r>
      <rPr>
        <sz val="10"/>
        <color rgb="FF000000"/>
        <rFont val="Calibri"/>
      </rPr>
      <t xml:space="preserve"> 2026 Exam Uplift : 1069-25 - Recruiting
Day 2 of 3
</t>
    </r>
    <r>
      <rPr>
        <b/>
        <sz val="10"/>
        <color rgb="FFFF0000"/>
        <rFont val="Calibri"/>
      </rPr>
      <t xml:space="preserve"> DO NOT MOVE for ANY REASON 
</t>
    </r>
    <r>
      <rPr>
        <sz val="10"/>
        <color rgb="FF000000"/>
        <rFont val="Calibri"/>
      </rPr>
      <t xml:space="preserve">
Awaiting Production of Oracle Fusion Cloud HCM: Recruiting 26A</t>
    </r>
  </si>
  <si>
    <r>
      <rPr>
        <sz val="10"/>
        <color rgb="FF000000"/>
        <rFont val="Calibri"/>
      </rPr>
      <t xml:space="preserve"> 2026 Exam Uplift : 1069-25 - Recruiting
Day 3 of 3
</t>
    </r>
    <r>
      <rPr>
        <b/>
        <sz val="10"/>
        <color rgb="FFFF0000"/>
        <rFont val="Calibri"/>
      </rPr>
      <t xml:space="preserve"> DO NOT MOVE for ANY REASON 
</t>
    </r>
    <r>
      <rPr>
        <sz val="10"/>
        <color rgb="FF000000"/>
        <rFont val="Calibri"/>
      </rPr>
      <t xml:space="preserve">
Awaiting Production of Oracle Fusion Cloud HCM: Recruiting 26A</t>
    </r>
  </si>
  <si>
    <r>
      <rPr>
        <sz val="10"/>
        <color rgb="FF000000"/>
        <rFont val="Calibri"/>
      </rPr>
      <t xml:space="preserve">26A Item Writing : 1046-25 - GHR
(With Rohit &amp; Sarah)
</t>
    </r>
    <r>
      <rPr>
        <b/>
        <sz val="10"/>
        <color rgb="FFFF0000"/>
        <rFont val="Calibri"/>
      </rPr>
      <t xml:space="preserve"> DO NOT MOVE for ANY REASON </t>
    </r>
  </si>
  <si>
    <t>PTO m-th</t>
  </si>
  <si>
    <r>
      <rPr>
        <b/>
        <sz val="10"/>
        <color rgb="FF000000"/>
        <rFont val="Calibri"/>
      </rPr>
      <t xml:space="preserve">PEER REVIEW - CANNOT BE MOVED
</t>
    </r>
    <r>
      <rPr>
        <sz val="10"/>
        <color rgb="FF000000"/>
        <rFont val="Calibri"/>
      </rPr>
      <t xml:space="preserve">26A Item Writing : 1046-25 - GHR
</t>
    </r>
    <r>
      <rPr>
        <b/>
        <sz val="10"/>
        <color rgb="FFFF0000"/>
        <rFont val="Calibri"/>
      </rPr>
      <t xml:space="preserve">OOO half day am
</t>
    </r>
    <r>
      <rPr>
        <sz val="10"/>
        <color rgb="FF000000"/>
        <rFont val="Calibri"/>
      </rPr>
      <t xml:space="preserve">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</si>
  <si>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 2026 Exam Uplift : 1069-25 - Recruiting
Asses and Apply Fixes
</t>
    </r>
    <r>
      <rPr>
        <b/>
        <sz val="10"/>
        <color rgb="FFFF0000"/>
        <rFont val="Calibri"/>
      </rPr>
      <t xml:space="preserve">POST PEER REVIEW -  DO NOT MOVE for ANY REASON </t>
    </r>
  </si>
  <si>
    <r>
      <rPr>
        <b/>
        <sz val="10"/>
        <color rgb="FFFF0000"/>
        <rFont val="Calibri"/>
      </rPr>
      <t xml:space="preserve">OOO half day am
</t>
    </r>
    <r>
      <rPr>
        <b/>
        <sz val="10"/>
        <color rgb="FF000000"/>
        <rFont val="Calibri"/>
      </rPr>
      <t xml:space="preserve">Navigator for Regression Testing
VT for Recruiting
</t>
    </r>
  </si>
  <si>
    <t xml:space="preserve">Navigator for Regression Testing
VT for Recruiting
</t>
  </si>
  <si>
    <t xml:space="preserve">Navigator for Regression Testing
</t>
  </si>
  <si>
    <r>
      <rPr>
        <b/>
        <sz val="10"/>
        <color rgb="FF000000"/>
        <rFont val="Calibri"/>
      </rPr>
      <t xml:space="preserve">Record 26A
</t>
    </r>
    <r>
      <rPr>
        <sz val="10"/>
        <color rgb="FF000000"/>
        <rFont val="Calibri"/>
      </rPr>
      <t xml:space="preserve">Oracle Fusion Cloud HCM: Security
Handoff Early March
</t>
    </r>
    <r>
      <rPr>
        <b/>
        <sz val="10"/>
        <color rgb="FFFF0000"/>
        <rFont val="Calibri"/>
      </rPr>
      <t xml:space="preserve">Moved 4 times since December - CANNOT MOVE AGAIN
 DO NOT MOVE for ANY REASON </t>
    </r>
  </si>
  <si>
    <r>
      <rPr>
        <strike/>
        <sz val="10"/>
        <color rgb="FF000000"/>
        <rFont val="Calibri"/>
      </rPr>
      <t xml:space="preserve">26B NF Development &amp; Recording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Yum ELS onsite: Prep</t>
    </r>
  </si>
  <si>
    <r>
      <rPr>
        <strike/>
        <sz val="10"/>
        <color rgb="FF000000"/>
        <rFont val="Calibri"/>
      </rPr>
      <t xml:space="preserve">26B NF Development &amp; Recording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Yum ELS onsite: Teach</t>
    </r>
  </si>
  <si>
    <t>26B NF Development &amp; Recording
YUM Debrief and TTT Parag</t>
  </si>
  <si>
    <t>26B NF Development &amp; Recording:  Unboxing</t>
  </si>
  <si>
    <t>Exam 26B Uplift : 1069-25 - Recruiting
Day 1</t>
  </si>
  <si>
    <t>Exam 26B Uplift : 1069-25 - Recruiting
Day 2</t>
  </si>
  <si>
    <t>Agentic App Recording</t>
  </si>
  <si>
    <t>Exam 26B Uplift : 1069-25 - Recruiting
Day 3</t>
  </si>
  <si>
    <t>Exam 26B Uplift : 1069-25 - Recruiting
Day 4</t>
  </si>
  <si>
    <r>
      <rPr>
        <b/>
        <sz val="10"/>
        <color rgb="FF000000"/>
        <rFont val="Calibri"/>
      </rPr>
      <t xml:space="preserve">DESIGN DOC : </t>
    </r>
    <r>
      <rPr>
        <sz val="10"/>
        <color rgb="FF000000"/>
        <rFont val="Calibri"/>
      </rPr>
      <t xml:space="preserve">Uplift Design Doc and Content to incorporate AI Agents &amp; NF
Oracle Fusion Cloud HCM: Recruiting 26A/B
</t>
    </r>
  </si>
  <si>
    <t xml:space="preserve">Exam 26B Uplift : 1069-25 - Recruiting
Day 5 -PEER REVIEW FIXES
</t>
  </si>
  <si>
    <t>Skill Check: Security Course</t>
  </si>
  <si>
    <r>
      <rPr>
        <b/>
        <sz val="10"/>
        <color rgb="FF000000"/>
        <rFont val="Calibri"/>
      </rPr>
      <t xml:space="preserve">DESIGN DOC Fixes: </t>
    </r>
    <r>
      <rPr>
        <sz val="10"/>
        <color rgb="FF000000"/>
        <rFont val="Calibri"/>
      </rPr>
      <t xml:space="preserve">Uplift Design Doc and Content to incorporate AI Agents &amp; NF
Oracle Fusion Cloud HCM: Recruiting 26A/B
</t>
    </r>
  </si>
  <si>
    <t xml:space="preserve">Exam 26B Uplift : 1046-25 - GHR
Day 5- Peer Review
</t>
  </si>
  <si>
    <r>
      <rPr>
        <b/>
        <sz val="10"/>
        <color rgb="FF000000"/>
        <rFont val="Calibri"/>
      </rPr>
      <t>Content Dev</t>
    </r>
    <r>
      <rPr>
        <sz val="10"/>
        <color rgb="FF000000"/>
        <rFont val="Calibri"/>
      </rPr>
      <t xml:space="preserve"> to incorporate AI Agents
Oracle Fusion Cloud HCM: Recruiting 26A
Use AI to generate Design Doc, Content and Narration</t>
    </r>
  </si>
  <si>
    <t>Navigator NF Content - Setup Required Features- MAY Release</t>
  </si>
  <si>
    <t>Design Doc: HCM Security</t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</si>
  <si>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>Oracle Fusion Cloud HCM: Recruiting 26A
Use AI to generate Narration</t>
    </r>
  </si>
  <si>
    <t>OOTO</t>
  </si>
  <si>
    <r>
      <rPr>
        <b/>
        <sz val="10"/>
        <color rgb="FF000000"/>
        <rFont val="Calibri"/>
      </rPr>
      <t xml:space="preserve">Design Doc: </t>
    </r>
    <r>
      <rPr>
        <sz val="10"/>
        <color rgb="FF000000"/>
        <rFont val="Calibri"/>
      </rPr>
      <t xml:space="preserve"> Recruiting Applied Learning</t>
    </r>
  </si>
  <si>
    <r>
      <rPr>
        <b/>
        <sz val="10"/>
        <color rgb="FF000000"/>
        <rFont val="Calibri"/>
      </rPr>
      <t xml:space="preserve">Design Doc Fixes: </t>
    </r>
    <r>
      <rPr>
        <sz val="10"/>
        <color rgb="FF000000"/>
        <rFont val="Calibri"/>
      </rPr>
      <t xml:space="preserve"> Recruiting Applied Learning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</si>
  <si>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Recruiting Applied Learning</t>
    </r>
  </si>
  <si>
    <r>
      <rPr>
        <b/>
        <sz val="10"/>
        <color rgb="FF000000"/>
        <rFont val="Calibri"/>
      </rPr>
      <t xml:space="preserve">Recording: </t>
    </r>
    <r>
      <rPr>
        <sz val="10"/>
        <color rgb="FF000000"/>
        <rFont val="Calibri"/>
      </rPr>
      <t xml:space="preserve"> Recruiting Applied Learning</t>
    </r>
  </si>
  <si>
    <t>26C NF (35 features; 3 features per day; 12 days)</t>
  </si>
  <si>
    <t>26C NF (35 features; 3 features per day; 12 days)
CLS Live 1hr Prep:  Interview Scheduling in Recruiting</t>
  </si>
  <si>
    <t>26C NF (35 features; 3 features per day; 12 days)
CLS Live 1 hr Delivery:  Interview Scheduling in Recruiting</t>
  </si>
  <si>
    <r>
      <rPr>
        <b/>
        <sz val="10"/>
        <color rgb="FF000000"/>
        <rFont val="Calibri"/>
      </rPr>
      <t>Record:</t>
    </r>
    <r>
      <rPr>
        <sz val="10"/>
        <color rgb="FF000000"/>
        <rFont val="Calibri"/>
      </rPr>
      <t xml:space="preserve"> Applied Learning Fusion Recruting Implementation Project 26C</t>
    </r>
  </si>
  <si>
    <r>
      <rPr>
        <b/>
        <sz val="10"/>
        <color rgb="FF000000"/>
        <rFont val="Calibri"/>
      </rPr>
      <t xml:space="preserve">Design Doc:  </t>
    </r>
    <r>
      <rPr>
        <sz val="10"/>
        <color rgb="FF000000"/>
        <rFont val="Calibri"/>
      </rPr>
      <t>Recruiting Booster Course</t>
    </r>
  </si>
  <si>
    <r>
      <rPr>
        <b/>
        <sz val="10"/>
        <color rgb="FF000000"/>
        <rFont val="Calibri"/>
      </rPr>
      <t xml:space="preserve">Content Dev:  </t>
    </r>
    <r>
      <rPr>
        <sz val="10"/>
        <color rgb="FF000000"/>
        <rFont val="Calibri"/>
      </rPr>
      <t>Recruiting Booster Course</t>
    </r>
  </si>
  <si>
    <r>
      <rPr>
        <b/>
        <sz val="10"/>
        <color rgb="FF000000"/>
        <rFont val="Calibri"/>
      </rPr>
      <t xml:space="preserve">Design Doc: </t>
    </r>
    <r>
      <rPr>
        <sz val="10"/>
        <color rgb="FF000000"/>
        <rFont val="Calibri"/>
      </rPr>
      <t xml:space="preserve"> Recruting Imp 26C</t>
    </r>
  </si>
  <si>
    <r>
      <rPr>
        <b/>
        <sz val="10"/>
        <color rgb="FF000000"/>
        <rFont val="Calibri"/>
      </rPr>
      <t xml:space="preserve">Develop: </t>
    </r>
    <r>
      <rPr>
        <sz val="10"/>
        <color rgb="FF000000"/>
        <rFont val="Calibri"/>
      </rPr>
      <t xml:space="preserve"> Recruting Imp 26C</t>
    </r>
  </si>
  <si>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>Recruiting Imp 26C</t>
    </r>
  </si>
  <si>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>Recruiting Booster</t>
    </r>
  </si>
  <si>
    <r>
      <rPr>
        <b/>
        <sz val="10"/>
        <color rgb="FF000000"/>
        <rFont val="Calibri"/>
      </rPr>
      <t xml:space="preserve">Design Doc: </t>
    </r>
    <r>
      <rPr>
        <sz val="10"/>
        <color rgb="FF000000"/>
        <rFont val="Calibri"/>
      </rPr>
      <t>Opportunity Marketplace Agentic Ap</t>
    </r>
    <r>
      <rPr>
        <b/>
        <sz val="10"/>
        <color rgb="FF000000"/>
        <rFont val="Calibri"/>
      </rPr>
      <t xml:space="preserve">p </t>
    </r>
    <r>
      <rPr>
        <sz val="10"/>
        <color rgb="FF000000"/>
        <rFont val="Calibri"/>
      </rPr>
      <t>26C</t>
    </r>
  </si>
  <si>
    <r>
      <rPr>
        <b/>
        <sz val="10"/>
        <color rgb="FF000000"/>
        <rFont val="Calibri"/>
      </rPr>
      <t xml:space="preserve">Develop: </t>
    </r>
    <r>
      <rPr>
        <sz val="10"/>
        <color rgb="FF000000"/>
        <rFont val="Calibri"/>
      </rPr>
      <t>Opportunity Marketplace Agentic App 26C</t>
    </r>
  </si>
  <si>
    <r>
      <rPr>
        <b/>
        <sz val="10"/>
        <color rgb="FF000000"/>
        <rFont val="Aptos Narrow"/>
        <scheme val="minor"/>
      </rPr>
      <t>Design Doc:</t>
    </r>
    <r>
      <rPr>
        <sz val="10"/>
        <color rgb="FF000000"/>
        <rFont val="Aptos Narrow"/>
        <scheme val="minor"/>
      </rPr>
      <t xml:space="preserve"> Oracle AI in Fusion Cloud HCM</t>
    </r>
  </si>
  <si>
    <t>Closure: Recruiting Booster</t>
  </si>
  <si>
    <t>Navigator Project - August Release (4 use cases)</t>
  </si>
  <si>
    <r>
      <rPr>
        <b/>
        <sz val="10"/>
        <color rgb="FF000000"/>
        <rFont val="Calibri"/>
      </rPr>
      <t xml:space="preserve">Design Doc:  </t>
    </r>
    <r>
      <rPr>
        <sz val="10"/>
        <color rgb="FF000000"/>
        <rFont val="Calibri"/>
      </rPr>
      <t>Recruiting 26D</t>
    </r>
  </si>
  <si>
    <r>
      <rPr>
        <b/>
        <sz val="10"/>
        <color rgb="FF000000"/>
        <rFont val="Calibri"/>
      </rPr>
      <t xml:space="preserve">Develop:  </t>
    </r>
    <r>
      <rPr>
        <sz val="10"/>
        <color rgb="FF000000"/>
        <rFont val="Calibri"/>
      </rPr>
      <t>Recruiting 26D</t>
    </r>
  </si>
  <si>
    <r>
      <rPr>
        <b/>
        <sz val="10"/>
        <color rgb="FF000000"/>
        <rFont val="Calibri"/>
      </rPr>
      <t xml:space="preserve">Develop:  </t>
    </r>
    <r>
      <rPr>
        <sz val="10"/>
        <color rgb="FF000000"/>
        <rFont val="Calibri"/>
      </rPr>
      <t xml:space="preserve">Recruiting 26D
</t>
    </r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>Intro to AI for HCM (half day)</t>
    </r>
  </si>
  <si>
    <t xml:space="preserve">
Live Session - Sep 30
AI World Content Prep</t>
  </si>
  <si>
    <t>AI World Content Prep - Labs</t>
  </si>
  <si>
    <t>JURY DUTY</t>
  </si>
  <si>
    <t>Live Session - Nov 18</t>
  </si>
  <si>
    <t>Live Session - Dec 3</t>
  </si>
  <si>
    <t>Record Applied Learning Develop:
Oracle Fusion Cloud HCM: Recruiting</t>
  </si>
  <si>
    <t>Base Comp Final Edits
Accountability Spreadsheets
25D New Features
EXPLORE
Checking Environment
(68)</t>
  </si>
  <si>
    <t>HCM PRP
25D New Features
EXPLORE
Checking Environment
(68)
Steve NF AI Session</t>
  </si>
  <si>
    <t>Walkthrough: 25D Unboxing &amp; NF Template
25D New Features
EXPLORE
Checking Environment
(68)</t>
  </si>
  <si>
    <t>Steve NF Chat Working Session
25D New Features
EXPLORE
Checking Environment
(68)
AI Cert
Unboxing Walkthru Meeting</t>
  </si>
  <si>
    <t>25D New Features
EXPLORE
Checking Environment
(68)
AI Cert</t>
  </si>
  <si>
    <t>Prep AI Cert Exam</t>
  </si>
  <si>
    <t>HCP PRP
Prep AI Cert Exam
COMPLETE AI Certification Exam</t>
  </si>
  <si>
    <t>25D New Features
Content creation &amp; Recording
(37 total 1 removed as a feature, 1 nothing to demo, 2 SRs 6 Extensive Config (27))
Content Creation
Awaiting Feedback on Sample Submission ppt
6 ppts completed
0 recorded
0 for tomorrow
0 in progress
29 in queue
0 Outstanding Issues with Demo Services
Following up on SR's
Communities Questions
Following up with other CDL's on questions they had re related content</t>
  </si>
  <si>
    <t>25D New Features
Content creation &amp; Recording
(37 total 1 removed as a feature, 1 nothing to demo, 2 SRs 6 Extensive Config (27))
Content Creation
Awaiting Feedback on Sample Submission
9 ppts completed
1 recorded (Sample)
0 for tomorrow
0 in progress
27 in queue
0 Outstanding Issues with Demo Services
Following up on SR's
Communities Questions
Following up with other CDL's on questions they had re related content</t>
  </si>
  <si>
    <t>25D New Features
Content creation &amp; Recording
(37 total 1 removed as a feature, 1 nothing to demo, 2 SRs 6 Extensive Config (27))
Reviewing Feedback
Content Creation
Awaiting Feedback on Sample Submission
5 recorded
0 for tomorrow
8 in progress (ppt done)
22 in queue
0 Outstanding Issues with Demo Services
1 completed (Booking request sent)
Following up on SR's
Communities Questions
Following up with other CDL's on questions they had re related content</t>
  </si>
  <si>
    <t>25D New Features
Content creation &amp; Recording
(37 total 1 removed as a feature, 1 nothing to demo, 2 SRs 6 Extensive Config (27))
Reviewing Feedback
Content Creation
8 recorded
0 for tomorrow
5 in progress (ppt done)
24 in queue
0 Outstanding Issues with Demo Services
1 completed (Booking request sent)
Following up on SR's
Communities Questions
Following up with other CDL's on questions they had re related content</t>
  </si>
  <si>
    <t>HCM PRP
25D New Features
Content creation &amp; Recording
(37 total 1 removed as a feature, 1 nothing to demo, 2 SRs 6 Extensive Config (27))
Reviewing Feedback
Content Creation
12 recorded
0 for tomorrow
3 in progress (ppt done)
20 in queue
1 Outstanding Issues with Demo Services
1 completed (Booking request sent)
Following up on SR's
Communities Questions
Following up with other CDL's on questions they had re related content</t>
  </si>
  <si>
    <t>25D New Features
Content creation &amp; Recording
(37 total 1 removed as a feature, 1 nothing to demo, 2 SRs 6 Extensive Config (27))
Reviewing Feedback
Content Creation
15 recorded
0 for tomorrow
2 in progress (ppt done)
18 in queue
1 Outstanding Issues with Demo Services
1 completed (Booking request sent)
Following up on SR's
Communities Questions
Following up with other CDL's on questions they had re related content</t>
  </si>
  <si>
    <t>Live Session Oct 23
Global Payroll Cert Prep
25D New Features
Content creation &amp; Recording
(37 total 1 removed as a feature, 1 nothing to demo, 2 SRs 6 Extensive Config (27))
Reviewing Feedback
Content Creation
Completed 3 additional ppts
Following up on SR's
Communities Questions
Following up with other CDL's on questions they had re related content
CSS FY26 October Stay Connected All Hands with Gary Miller</t>
  </si>
  <si>
    <t>25D New Features
Content creation &amp; Recording
(37 total 1 removed as a feature, 1 nothing to demo, 2 SRs 6 Extensive Config (27))
Reviewing Feedback
Content Creation
9 recorded
0 for tomorrow
3 in progress (ppt done)
13 in queue
12 completed (Booking request sent)
Following up on SR's
Communities Questions
Following up with other CDL's on questions they had re related content</t>
  </si>
  <si>
    <t>HCP PRP
25D New Features
Content creation &amp; Recording
(37 total 1 removed as a feature, 1 nothing to demo, 2 SRs 6 Extensive Config (27))
Reviewing Feedback
Content Creation
12 recorded
0 for tomorrow
0 in progress (ppt done)
12 in queue
12 completed (Booking request sent)
Following up on SR's
Communities Questions
Following up with other CDL's on questions they had re related content</t>
  </si>
  <si>
    <t>25D New Features
Content creation &amp; Recording
(37 total 1 removed as a feature, 1 nothing to demo, 2 SRs 6 Extensive Config (27))
Reviewing Feedback
Content Creation
Payroll &amp; Comp Unboxing
Following up on SR's
Communities Questions
Following up with other CDL's on questions they had re related content</t>
  </si>
  <si>
    <t>25D New Features
Content creation &amp; Recording
(37 total 1 removed as a feature, 1 nothing to demo, 2 SRs 6 Extensive Config (27))
Reviewing Feedback
Content Creation
2 recorded (Unboxing + 1 re-record)
0 for tomorrow
1 in progress (ppt done)
11 in queue
2 Outstanding SRs
21 completed (Booking request sent)
Following up on SR's
Communities Questions
Following up with other CDL's on questions they had re related content</t>
  </si>
  <si>
    <r>
      <t>25D New Features
Content creation &amp; Recording
(37 total 1 removed as a feature, 1 nothing to demo, 2 SRs 6 Extensive Config (27))
Reviewing Feedback</t>
    </r>
    <r>
      <rPr>
        <b/>
        <sz val="10"/>
        <color rgb="FF000000"/>
        <rFont val="Aptos Narrow"/>
        <family val="2"/>
      </rPr>
      <t xml:space="preserve">
NF Recordings Completed</t>
    </r>
    <r>
      <rPr>
        <sz val="10"/>
        <color rgb="FF000000"/>
        <rFont val="Aptos Narrow"/>
        <family val="2"/>
      </rPr>
      <t xml:space="preserve">
Workforce Comp Recording
Following up on SR's
Communities Questions
Following up with other CDL's on questions they had re related content</t>
    </r>
  </si>
  <si>
    <r>
      <t>OOO f pm</t>
    </r>
    <r>
      <rPr>
        <b/>
        <sz val="10"/>
        <color rgb="FF7030A0"/>
        <rFont val="Calibri"/>
        <family val="2"/>
      </rPr>
      <t xml:space="preserve">
INFODEV:
HANDOFF delayed to </t>
    </r>
    <r>
      <rPr>
        <b/>
        <sz val="10"/>
        <color rgb="FFFF0000"/>
        <rFont val="Calibri"/>
        <family val="2"/>
      </rPr>
      <t>Oct 08
Recording
Curr 2.0:
Oracle Fusion Cloud HCM:Workforce Compensation 25c 2.0 Course
(8 - 1.8)
18 Lessons
32 Labs
Labs First
26 of the 32 labs completed - rest pending env issue</t>
    </r>
  </si>
  <si>
    <t>Holiday t
PTO m, w-f</t>
  </si>
  <si>
    <t xml:space="preserve">PTO m-w
</t>
  </si>
  <si>
    <t>Oracle Fusion Cloud HCM: Global Payroll Healthcheck 20-26th
Communities</t>
  </si>
  <si>
    <t xml:space="preserve">CPS Project Team
Troubleshooting
Oracle Fusion Cloud HCM:Workforce Compensation </t>
  </si>
  <si>
    <t>OOO t 2nd</t>
  </si>
  <si>
    <t xml:space="preserve">CONTINGENT on 25D REDWOOD ENV: INFODEV:
HANDOFF delayed to Oct 08
Recording
Curr 2.0:
Oracle Fusion Cloud HCM:Workforce Compensation 25c 2.0 Course
(8 - 1.8)
18 Lessons
6 Labs
Rebuild in new Redwood Env pending issues
Fix / rewrite Practices based on workaround
Oracle Fusion Cloud HCM:Workforce Compensation </t>
  </si>
  <si>
    <r>
      <rPr>
        <b/>
        <sz val="10"/>
        <color rgb="FF7030A0"/>
        <rFont val="Calibri"/>
      </rPr>
      <t xml:space="preserve">CONTINGENT on 25D REDWOOD ENV: INFODEV:
HANDOFF delayed to Oct 08
Recording
Curr 2.0:
Oracle Fusion Cloud HCM:Workforce Compensation 25c 2.0 Course
(8 - 1.8)
18 Lessons
6 Labs
Rebuild in new Redwood Env pending issues
</t>
    </r>
    <r>
      <rPr>
        <sz val="10"/>
        <color rgb="FF000000"/>
        <rFont val="Calibri"/>
      </rPr>
      <t>CPS Scoping
Memorial Hermann Hospital Scoping</t>
    </r>
  </si>
  <si>
    <r>
      <rPr>
        <b/>
        <sz val="10"/>
        <color rgb="FF7030A0"/>
        <rFont val="Calibri"/>
      </rPr>
      <t xml:space="preserve">CONTINGENT on 25D REDWOOD ENV: INFODEV:
HANDOFF delayed to Oct 08
Recording
Curr 2.0:
Oracle Fusion Cloud HCM:Workforce Compensation 25c 2.0 Course
(8 - 1.8)
18 Lessons
6 Labs
Rebuild in new Redwood Env pending issues
BOOKING REQUEST sent Dec 05
</t>
    </r>
    <r>
      <rPr>
        <sz val="10"/>
        <color rgb="FF000000"/>
        <rFont val="Calibri"/>
      </rPr>
      <t>CPS Scoping
Memorial Hermann Hospital Scoping</t>
    </r>
  </si>
  <si>
    <t>CPS Scoping
Memorial Hermann Hospital Scoping</t>
  </si>
  <si>
    <r>
      <rPr>
        <b/>
        <sz val="10"/>
        <color rgb="FF000000"/>
        <rFont val="Calibri"/>
      </rPr>
      <t xml:space="preserve">US Payroll 2.0
Record m-t (if ENV issues resolved)
</t>
    </r>
    <r>
      <rPr>
        <sz val="10"/>
        <color rgb="FF000000"/>
        <rFont val="Calibri"/>
      </rPr>
      <t>CPS Scoping
Memorial Hermann Hospital Scoping</t>
    </r>
  </si>
  <si>
    <t>Live Session th 11th
Prepare for Oracle HCM Cloud: Compensation Certification Exam
CPS Scoping
Memorial Hermann Hospital Scoping</t>
  </si>
  <si>
    <t xml:space="preserve">26A BOM m-t
 </t>
  </si>
  <si>
    <t xml:space="preserve">26A BOM m-t
</t>
  </si>
  <si>
    <t>Impact Analysis Instruction Call
Q3 FY26 All Hands with Gary Miller Call
CPS Tailoring
Memorial Hermann Hospital Tailoring
Start Initial 26A Impact Analysis</t>
  </si>
  <si>
    <t>26A NF Template Walkthrough
CPS Tailoring
Memorial Hermann Hospital Tailoring
Start Initial 26A Impact Analysis</t>
  </si>
  <si>
    <t>CPS Tailoring
Memorial Hermann Hospital Tailoring
Start Initial 26A Impact Analysis</t>
  </si>
  <si>
    <r>
      <rPr>
        <b/>
        <sz val="10"/>
        <color rgb="FFFF0000"/>
        <rFont val="Calibri"/>
      </rPr>
      <t xml:space="preserve">OOO m-w 22-23
</t>
    </r>
    <r>
      <rPr>
        <b/>
        <sz val="10"/>
        <color rgb="FF000000"/>
        <rFont val="Calibri"/>
      </rPr>
      <t>CPS Tailoring</t>
    </r>
  </si>
  <si>
    <t xml:space="preserve">PTO w
</t>
  </si>
  <si>
    <t>Holiday th</t>
  </si>
  <si>
    <t>Winter Break f</t>
  </si>
  <si>
    <t>Winter Break m-w</t>
  </si>
  <si>
    <r>
      <rPr>
        <sz val="10"/>
        <color rgb="FF000000"/>
        <rFont val="Calibri"/>
      </rPr>
      <t xml:space="preserve">26A NFs
</t>
    </r>
    <r>
      <rPr>
        <b/>
        <sz val="10"/>
        <color rgb="FF000000"/>
        <rFont val="Calibri"/>
      </rPr>
      <t>26A NF BOM Impact Analysis
Memorial Hermann Hospital PRV</t>
    </r>
  </si>
  <si>
    <t>OOO t 20th</t>
  </si>
  <si>
    <t>26A NFs thru Jan 30</t>
  </si>
  <si>
    <t>26A NFs
Sat-Sun AI data Platform Completed</t>
  </si>
  <si>
    <t>2026 Exam Uplift : 1050-25 - Payroll
Day 1 of 6</t>
  </si>
  <si>
    <t>2026 Exam Uplift : 1050-25 - Payroll
Day 2 of 6</t>
  </si>
  <si>
    <t>2026 Exam Uplift : 1050-25 - Payroll
Day 3 of 6</t>
  </si>
  <si>
    <t>Presidents' Day m 16th
OOO t 17th</t>
  </si>
  <si>
    <t>OOO t 17th</t>
  </si>
  <si>
    <r>
      <rPr>
        <sz val="10"/>
        <color rgb="FF000000"/>
        <rFont val="Calibri"/>
      </rPr>
      <t xml:space="preserve">2026 Exam Uplift : 1050-25 - Payroll
Day 4 of 6
Peer Review Available After EOD
 </t>
    </r>
    <r>
      <rPr>
        <b/>
        <sz val="10"/>
        <color rgb="FFFF0000"/>
        <rFont val="Calibri"/>
      </rPr>
      <t xml:space="preserve">DO NOT MOVE for ANY REASON </t>
    </r>
  </si>
  <si>
    <r>
      <rPr>
        <sz val="10"/>
        <color rgb="FF000000"/>
        <rFont val="Calibri"/>
      </rPr>
      <t xml:space="preserve">2026 Exam Uplift : 1049-25 - Compensation
(44 Questions Flagged for Review + 12 Questions moved from Delta Exam)
Day 1 of 7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</si>
  <si>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2026 Exam Uplift : 1049-25 - Compensation
(44 Questions Flagged for Review + 12 Questions moved from Delta Exam)
Day 2 of 7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</si>
  <si>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2026 Exam Uplift : 1049-25 - Compensation
(44 Questions Flagged for Review + 12 Questions moved from Delta Exam)
Day 3 of 7
 </t>
    </r>
    <r>
      <rPr>
        <b/>
        <sz val="10"/>
        <color rgb="FFFF0000"/>
        <rFont val="Calibri"/>
      </rPr>
      <t xml:space="preserve">DO NOT MOVE for ANY REASON </t>
    </r>
  </si>
  <si>
    <r>
      <rPr>
        <sz val="10"/>
        <color rgb="FF000000"/>
        <rFont val="Calibri"/>
      </rPr>
      <t xml:space="preserve">2026 Exam Uplift : 1049-25 - Compensation
(44 Questions Flagged for Review + 12 Questions moved from Delta Exam)
Day 4 of 7
 </t>
    </r>
    <r>
      <rPr>
        <b/>
        <sz val="10"/>
        <color rgb="FFFF0000"/>
        <rFont val="Calibri"/>
      </rPr>
      <t xml:space="preserve">DO NOT MOVE for ANY REASON </t>
    </r>
  </si>
  <si>
    <r>
      <rPr>
        <sz val="10"/>
        <color rgb="FF000000"/>
        <rFont val="Calibri"/>
      </rPr>
      <t xml:space="preserve">2026 Exam Uplift : 1049-25 - Compensation(44 Questions Flagged for Review + 12 Questions moved from Delta Exam)
Day 5 of 7
Peer Review Available After EOD
</t>
    </r>
    <r>
      <rPr>
        <b/>
        <sz val="10"/>
        <color rgb="FFFF0000"/>
        <rFont val="Calibri"/>
      </rPr>
      <t xml:space="preserve"> DO NOT MOVE for ANY REASON </t>
    </r>
  </si>
  <si>
    <t>HCM 1-3-5 Overview Project</t>
  </si>
  <si>
    <r>
      <rPr>
        <sz val="10"/>
        <color rgb="FF000000"/>
        <rFont val="Calibri"/>
      </rPr>
      <t xml:space="preserve">2026 Exam Uplift : 1049-25 - Compensation (44 Questions Flagged for Review + 12 Questions moved from Delta Exam)
Day 6 of 7
Entering 40+ questions in IW per Exam Team
(Abhishek’s team doing Peer Review week of March 2)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</si>
  <si>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26B BOM Assessment
2026 Exam Uplift : 1050-25 - Payroll Day 6
2026 Exam Uplift : 1049-25 - Compensation Day 7
</t>
    </r>
    <r>
      <rPr>
        <b/>
        <sz val="10"/>
        <color rgb="FFFF0000"/>
        <rFont val="Calibri"/>
      </rPr>
      <t xml:space="preserve">ASSESS &amp; APPLY PEER REVIEW -  DO NOT MOVE for ANY REASON </t>
    </r>
  </si>
  <si>
    <t>VT Oracle Fusion Cloud HCM Base Compensation
Venu getting Kurt fresh, unused environment for 3/18-19</t>
  </si>
  <si>
    <r>
      <rPr>
        <sz val="10"/>
        <color rgb="FF000000"/>
        <rFont val="Calibri"/>
      </rPr>
      <t xml:space="preserve">VT Oracle Fusion Cloud HCM Base Compensation
Venu getting Kurt fresh, unused environment for 3/18-19
</t>
    </r>
    <r>
      <rPr>
        <b/>
        <sz val="10"/>
        <color rgb="FFFF0000"/>
        <rFont val="Calibri"/>
      </rPr>
      <t>Received environment Overnight. Issues with Hiring will not work in three enviornments tested.</t>
    </r>
  </si>
  <si>
    <t>VT Oracle Fusion Cloud HCM Workforce Compensation</t>
  </si>
  <si>
    <t>Navigator for Regression Testing</t>
  </si>
  <si>
    <r>
      <rPr>
        <b/>
        <sz val="10"/>
        <color rgb="FFFF0000"/>
        <rFont val="Calibri"/>
      </rPr>
      <t xml:space="preserve">OOO am
</t>
    </r>
    <r>
      <rPr>
        <b/>
        <sz val="10"/>
        <color rgb="FF000000"/>
        <rFont val="Calibri"/>
      </rPr>
      <t xml:space="preserve">
Navigator for Regression Testing</t>
    </r>
  </si>
  <si>
    <t>Uplift Design Doc to incorporate AI Agents
Oracle Fusion Cloud HCM: Global Payroll 26A
Handoff March
Use AI to generate Design Doc, Content and Narration</t>
  </si>
  <si>
    <r>
      <rPr>
        <b/>
        <sz val="10"/>
        <color rgb="FF000000"/>
        <rFont val="Calibri"/>
      </rPr>
      <t xml:space="preserve">LIVE SESSION:
</t>
    </r>
    <r>
      <rPr>
        <sz val="10"/>
        <color rgb="FF000000"/>
        <rFont val="Calibri"/>
      </rPr>
      <t>Prepare for Oracle HCM Cloud: Payroll Cloud Certification Exam
Uplift Design Doc  to incorporate AI Agents
Oracle Fusion Cloud HCM: Global Payroll 26A
Handoff March
Use AI to generate Design Doc, Content and Narration</t>
    </r>
  </si>
  <si>
    <t>Uplift Content to incorporate AI Agents
Oracle Fusion Cloud HCM: Global Payroll 26A
Handoff March
Use AI to generate Design Doc, Content and Narration</t>
  </si>
  <si>
    <t>Agentic Apps Course Content Creation &amp; Recording (1)</t>
  </si>
  <si>
    <t>Agentic Apps Course Recording</t>
  </si>
  <si>
    <t>EXAM 26B Uplift : 1050-25 - Payroll
Day 1</t>
  </si>
  <si>
    <t xml:space="preserve">EXAM 26B Uplift : 1050-25 - Payroll
Day 2
</t>
  </si>
  <si>
    <r>
      <rPr>
        <sz val="10"/>
        <color rgb="FF000000"/>
        <rFont val="Calibri"/>
      </rPr>
      <t xml:space="preserve">EXAM 26B Uplift : 1050-25 - Payroll
Day 4
</t>
    </r>
    <r>
      <rPr>
        <b/>
        <sz val="10"/>
        <color rgb="FFFF0000"/>
        <rFont val="Calibri"/>
      </rPr>
      <t xml:space="preserve">Aligns with Nigel &amp; Jess' schedule
</t>
    </r>
  </si>
  <si>
    <t>Exam 26B Uplift : 1049-25 - Compensation
Day 1</t>
  </si>
  <si>
    <t>Exam 26B Uplift : 1049-25 - Compensation
Day 2</t>
  </si>
  <si>
    <t>Exam 26B Uplift : 1049-25 - Compensation
Day 3</t>
  </si>
  <si>
    <r>
      <rPr>
        <sz val="10"/>
        <color rgb="FF000000"/>
        <rFont val="Calibri"/>
      </rPr>
      <t xml:space="preserve">Exam 26B Uplift : 1049-25 - Compensation
Day 4
</t>
    </r>
    <r>
      <rPr>
        <b/>
        <sz val="10"/>
        <color rgb="FFFF0000"/>
        <rFont val="Calibri"/>
      </rPr>
      <t>Aligns with Jess' schedule</t>
    </r>
  </si>
  <si>
    <t>EXAM 26B Uplift : 1050-25 - Payroll
Day 5 - Peer Review Fixes</t>
  </si>
  <si>
    <t>1) Comp Delta exam peer review feedback fixes
2) Design Doc Global Payroll AI and 26B Updates</t>
  </si>
  <si>
    <r>
      <rPr>
        <b/>
        <sz val="10"/>
        <color rgb="FF000000"/>
        <rFont val="Calibri"/>
      </rPr>
      <t xml:space="preserve">Design Doc </t>
    </r>
    <r>
      <rPr>
        <sz val="10"/>
        <color rgb="FF000000"/>
        <rFont val="Calibri"/>
      </rPr>
      <t>Global Payroll AI and 26B Updates</t>
    </r>
  </si>
  <si>
    <r>
      <rPr>
        <b/>
        <sz val="10"/>
        <color rgb="FF000000"/>
        <rFont val="Calibri"/>
      </rPr>
      <t xml:space="preserve">Design Doc Review Fixes: </t>
    </r>
    <r>
      <rPr>
        <sz val="10"/>
        <color rgb="FF000000"/>
        <rFont val="Calibri"/>
      </rPr>
      <t xml:space="preserve"> Global Payroll AI and 26B Updates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</si>
  <si>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Global Payroll AI and 26B Updates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</si>
  <si>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Global Payroll AI and 26B Updates
 Round 3 : MyLearn AI Testing in PROD - Exam Prep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</si>
  <si>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Global Payroll AI and 26B Updates
"AI Assist Exam Prep" testing due by COB 6/5</t>
    </r>
  </si>
  <si>
    <t>Payroll Input to Payments OMBP</t>
  </si>
  <si>
    <r>
      <rPr>
        <b/>
        <sz val="10"/>
        <color rgb="FF000000"/>
        <rFont val="Calibri"/>
      </rPr>
      <t>Design Doc:</t>
    </r>
    <r>
      <rPr>
        <sz val="10"/>
        <color rgb="FF000000"/>
        <rFont val="Calibri"/>
      </rPr>
      <t xml:space="preserve">  US Payroll 
(remove dups from Global Payroll and add US specifics from prior releases up thru 26B)</t>
    </r>
  </si>
  <si>
    <r>
      <rPr>
        <b/>
        <sz val="10"/>
        <color rgb="FF000000"/>
        <rFont val="Calibri"/>
      </rPr>
      <t xml:space="preserve">Record: </t>
    </r>
    <r>
      <rPr>
        <sz val="10"/>
        <color rgb="FF000000"/>
        <rFont val="Calibri"/>
      </rPr>
      <t xml:space="preserve"> Global Payroll AI and 26B Updates</t>
    </r>
  </si>
  <si>
    <t>26C NF (37 features; 3 features per day; 13 days)</t>
  </si>
  <si>
    <r>
      <rPr>
        <b/>
        <sz val="10"/>
        <color rgb="FF000000"/>
        <rFont val="Calibri"/>
      </rPr>
      <t xml:space="preserve">Record: </t>
    </r>
    <r>
      <rPr>
        <sz val="10"/>
        <color rgb="FF000000"/>
        <rFont val="Calibri"/>
      </rPr>
      <t xml:space="preserve"> Global Payroll AI and 26B Updates for SG</t>
    </r>
  </si>
  <si>
    <t>Navigator Project - August Release (3-4 use case)</t>
  </si>
  <si>
    <r>
      <rPr>
        <b/>
        <sz val="10"/>
        <color rgb="FF000000"/>
        <rFont val="Calibri"/>
      </rPr>
      <t>Content Dev:</t>
    </r>
    <r>
      <rPr>
        <sz val="10"/>
        <color rgb="FF000000"/>
        <rFont val="Calibri"/>
      </rPr>
      <t xml:space="preserve">  AI for HCM (Payroll)</t>
    </r>
  </si>
  <si>
    <r>
      <rPr>
        <b/>
        <sz val="10"/>
        <color rgb="FF000000"/>
        <rFont val="Calibri"/>
      </rPr>
      <t>Content Dev:</t>
    </r>
    <r>
      <rPr>
        <sz val="10"/>
        <color rgb="FF000000"/>
        <rFont val="Calibri"/>
      </rPr>
      <t xml:space="preserve">  AI for HCM (Comp)</t>
    </r>
  </si>
  <si>
    <r>
      <rPr>
        <b/>
        <sz val="10"/>
        <color rgb="FF000000"/>
        <rFont val="Calibri"/>
      </rPr>
      <t>Content Dev:</t>
    </r>
    <r>
      <rPr>
        <sz val="10"/>
        <color rgb="FF000000"/>
        <rFont val="Calibri"/>
      </rPr>
      <t xml:space="preserve">  AI for HCM (T&amp;L)</t>
    </r>
  </si>
  <si>
    <r>
      <rPr>
        <b/>
        <sz val="11"/>
        <color rgb="FF242424"/>
        <rFont val="Aptos Narrow"/>
      </rPr>
      <t>Content Dev Review Fixes:</t>
    </r>
    <r>
      <rPr>
        <sz val="11"/>
        <color rgb="FF242424"/>
        <rFont val="Aptos Narrow"/>
      </rPr>
      <t xml:space="preserve"> AI for HCM</t>
    </r>
  </si>
  <si>
    <t>Live Session - Sep 17
Record:  Intro to AI for HCM (half day)</t>
  </si>
  <si>
    <r>
      <rPr>
        <b/>
        <sz val="10"/>
        <color rgb="FF000000"/>
        <rFont val="Calibri"/>
      </rPr>
      <t xml:space="preserve">Content Dev:  </t>
    </r>
    <r>
      <rPr>
        <sz val="10"/>
        <color rgb="FF000000"/>
        <rFont val="Calibri"/>
      </rPr>
      <t>AI for HCM</t>
    </r>
  </si>
  <si>
    <r>
      <rPr>
        <b/>
        <sz val="10"/>
        <color rgb="FF000000"/>
        <rFont val="Calibri"/>
      </rPr>
      <t xml:space="preserve">26D BOM Analysis &amp; Updates
Content Dev:  </t>
    </r>
    <r>
      <rPr>
        <sz val="10"/>
        <color rgb="FF000000"/>
        <rFont val="Calibri"/>
      </rPr>
      <t>AI for HCM AG</t>
    </r>
  </si>
  <si>
    <t>VT: Payroll Localized Testing</t>
  </si>
  <si>
    <t>DD: Workforce Comp</t>
  </si>
  <si>
    <t>Live Session - Nov 9
Design Doc:  Workforce Comp</t>
  </si>
  <si>
    <t>GLOBAL PAYROLL OMBP - Had 7 steps, now have 8 but they aren't the same.
one week to update
one week to record
TBD</t>
  </si>
  <si>
    <r>
      <rPr>
        <sz val="10"/>
        <color rgb="FF000000"/>
        <rFont val="Calibri"/>
      </rPr>
      <t xml:space="preserve">Oracle Fusion Cloud HCM: Workforce Scheduling
is done using Articulate by Angela's team - there is nothing for us to record.
</t>
    </r>
    <r>
      <rPr>
        <b/>
        <sz val="10"/>
        <color rgb="FFFF0000"/>
        <rFont val="Calibri"/>
      </rPr>
      <t>November 23 -25
December 21 – 24</t>
    </r>
  </si>
  <si>
    <r>
      <rPr>
        <b/>
        <sz val="10"/>
        <color rgb="FFFF0000"/>
        <rFont val="Calibri"/>
      </rPr>
      <t xml:space="preserve">November 23 -25
December 21 – 24
</t>
    </r>
    <r>
      <rPr>
        <sz val="10"/>
        <color rgb="FF000000"/>
        <rFont val="Calibri"/>
      </rPr>
      <t xml:space="preserve">
Testing: ½ day unless there are issues
Updating/uplifting/recording 2-3 days based on testing.
Suh - 5 Days would be a safe estimate. </t>
    </r>
  </si>
  <si>
    <r>
      <rPr>
        <sz val="10"/>
        <color rgb="FF000000"/>
        <rFont val="Calibri"/>
      </rPr>
      <t xml:space="preserve">Design:
TOP 10 Best Practices
Oracle Fusion Cloud HCM: Global Payroll 26A
</t>
    </r>
    <r>
      <rPr>
        <b/>
        <sz val="10"/>
        <color rgb="FF000000"/>
        <rFont val="Calibri"/>
      </rPr>
      <t xml:space="preserve">Week 1 of 3
Design
</t>
    </r>
    <r>
      <rPr>
        <sz val="10"/>
        <color rgb="FF000000"/>
        <rFont val="Calibri"/>
      </rPr>
      <t>PENDING Best Practices CLARITY FROM VIDYA
Design - Content Record - 3 weeks total</t>
    </r>
  </si>
  <si>
    <r>
      <rPr>
        <sz val="10"/>
        <color rgb="FF000000"/>
        <rFont val="Calibri"/>
      </rPr>
      <t xml:space="preserve">Create:
TOP 10 Best Practices
Oracle Fusion Cloud HCM: Global Payroll 26A
</t>
    </r>
    <r>
      <rPr>
        <b/>
        <sz val="10"/>
        <color rgb="FF000000"/>
        <rFont val="Calibri"/>
      </rPr>
      <t xml:space="preserve">Week 2 of 3
</t>
    </r>
    <r>
      <rPr>
        <sz val="10"/>
        <color rgb="FF000000"/>
        <rFont val="Calibri"/>
      </rPr>
      <t>PENDING Best Practices CLARITY FROM VIDYA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</si>
  <si>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TOP 10 Best Practices
Oracle Fusion Cloud HCM: Global Payroll 26A
</t>
    </r>
    <r>
      <rPr>
        <b/>
        <sz val="10"/>
        <color rgb="FF000000"/>
        <rFont val="Calibri"/>
      </rPr>
      <t>Week 3 of 3</t>
    </r>
  </si>
  <si>
    <t>Update and Record Applied Learning Oracle Fusion Cloud HCM: Global Payroll
5 days</t>
  </si>
  <si>
    <t>25D New Features
EXPLORE
(5+4 BEN were added) (12GHR)
Submitted 5 SRs
Communities Questions</t>
  </si>
  <si>
    <t>HCM PRP
Steve NF Chat Working Session
Live Session 7th Tue
HCM Approval Management Overview
Benefits Course - fix Lesson 21 Activity 3
Take AI Cert Exam
25D New Features
EXPLORE
Check Environment
Communities Questions</t>
  </si>
  <si>
    <t>Walkthrough: 25D Unboxing &amp; NF Template
25D New Features
EXPLORE
Check Environment
Communities Questions</t>
  </si>
  <si>
    <t>Steve NF Chat Working Session
25D New Features
EXPLORE
Check Environment
Communities Questions</t>
  </si>
  <si>
    <t>25D New Features
EXPLORE
Check Environment
Communities Questions
Study for AI Exam</t>
  </si>
  <si>
    <r>
      <t>COMPLETE AI Certification Exam</t>
    </r>
    <r>
      <rPr>
        <b/>
        <sz val="10"/>
        <color rgb="FF000000"/>
        <rFont val="Aptos Narrow"/>
        <family val="2"/>
      </rPr>
      <t xml:space="preserve">
25D New Features
EXPLORE
Content Creation
Sample Submission
2 recorded
0 for tomorrow
0 in progress
15 in queue
2 Outstanding Issues with Demo Services
Following up on SR's &amp; Feature Owner Question/Responses
Communities Questions</t>
    </r>
    <r>
      <rPr>
        <sz val="10"/>
        <rFont val="Aptos Narrow"/>
        <family val="2"/>
      </rPr>
      <t xml:space="preserve">
Following up with other CDL's on questions they had re related content</t>
    </r>
  </si>
  <si>
    <t>HCP PRP
Content creation &amp; Recording
Content Creation
Awaiting Feedback on Sample Submission
2 recorded
0 for tomorrow
0 in progress
15 in queue
2 Outstanding Issues with Demo Services
Following up on SR's &amp; Feature Owner Question/Responses
Communities Question
Following up with other CDL's on questions they had re related content</t>
  </si>
  <si>
    <t>Content Creation
Awaiting Feedback Sample Submission
0 recorded
4 for tomorrow
0 in progress
13 in queue
2 Outstanding Issues with Demo Services
Following up on SR's &amp; Feature Owner Question/Responses
Communities Question
Following up with other CDL's on questions they had re related content</t>
  </si>
  <si>
    <t>Review Exam Oracle Fusion Cloud HCM: Benefits (Base &amp; Delta)
Content Creation
Awaiting Feedback Sample Submission
Oct 16
2 Recorded and uploaded to SharePoint
8 Built PPTs for recording next day.
7 Yet to start
2 Outstanding Issues
Following up on SR's &amp; Feature Owner Question/Responses
Communities Question
Following up with other CDL's on questions they had re related content</t>
  </si>
  <si>
    <t>Content Creation
Awaiting Feedback Sample Submission
Oct 17
3 Recorded and uploaded to SharePoint
5 Built PPTs for recording next day.
7 Yet to start
2 Outstanding Issues
2 Completed
Following up on SR's &amp; Feature Owner Question/Responses
Communities Question</t>
  </si>
  <si>
    <t>Content Creation
Awaiting Feedback Sample Submission
Oct 20
5 Recorded and uploaded to SharePoint
4 PPT Build Planned for Oct 22 (sick day Oct 21)
3 Yet to start
2 Outstanding Issues
5 Completed
Following up on SR's &amp; Feature Owner Question/Responses
Communities Question</t>
  </si>
  <si>
    <t>Content Creation
Awaiting Feedback Sample Submission
Oct 22
3 Recorded and uploaded to SharePoint
5 Built PPTs for recording next day
Had zoom call with feature owner to try and figure out how to get the Read-Only Access for the Redwood Benefits Summary page to work.
Unboxing video Not yet started
1 Outstanding Issue
10 Completed
Following up on SR's &amp; Feature Owner Question/Responses
Communities Question</t>
  </si>
  <si>
    <t>Content Creation
Awaiting Feedback Sample Submission
Oct 23
7 Recorded and uploaded to SharePoint
Unboxing Video built to be recorded next day
2 Outstanding Issues (new issue arose when recording GHR NF).
10 Completed
Attend CSS FY26 All Hands
Following up on SR's &amp; Feature Owner Question/Responses
Communities Question
CSS FY26 October Stay Connected All Hands with Gary Miller</t>
  </si>
  <si>
    <t>Content Creation
Awaiting Feedback Sample Submission
Oct 24
Unboxing Benefits recorded and uploaded to SharePoint
2 Outstanding Issues
17 Completed
Following up on SR's &amp; Feature Owner Question/Responses
Communities Question</t>
  </si>
  <si>
    <t>HCP PRP
25D New Features
Content Creation
Making Alterations to Unboxing Videos
2 Outstanding Issues
17 Completed
Following up on SR's &amp; Feature Owner Question/Responses
Communities Question</t>
  </si>
  <si>
    <t>Review Exam Oracle Fusion Cloud HCM: Benefits (Base &amp; Delta)
25D New Features
Content Creation
Making Alterations to Unboxing Videos
2 Outstanding Issues
17 Completed
Following up on SR's &amp; Feature Owner Question/Responses
Communities Question</t>
  </si>
  <si>
    <t>25D New Features
Content Creation
2 Outstanding Issues
19 Completed
Following up on SR's &amp; Feature Owner Question/Responses
Communities Question</t>
  </si>
  <si>
    <t>Delta Exam Questions (if time still  needed)</t>
  </si>
  <si>
    <t>Update and Record Applied Learning Oracle Fusion Cloud HCM: Using Global Human Resources
Communities
Benefits Delta Blueprint with Rebecca - still awaiting feedback from Exam team</t>
  </si>
  <si>
    <r>
      <rPr>
        <b/>
        <sz val="10"/>
        <color rgb="FFFF0000"/>
        <rFont val="Calibri"/>
      </rPr>
      <t xml:space="preserve">Holiday t
</t>
    </r>
    <r>
      <rPr>
        <b/>
        <sz val="10"/>
        <color rgb="FF000000"/>
        <rFont val="Calibri"/>
      </rPr>
      <t xml:space="preserve">
Update and Record Applied Learning Oracle Fusion Cloud HCM: Using Global Human Resources
Communities</t>
    </r>
  </si>
  <si>
    <t>Update and Record Applied Learning Oracle Fusion Cloud HCM: Using Global Human Resources
Communities</t>
  </si>
  <si>
    <t>Update and Record Applied Learning Oracle Fusion Cloud HCM: Using Global Human Resources
Communities (3 hours)</t>
  </si>
  <si>
    <t>Prep Journeys
Communities</t>
  </si>
  <si>
    <t>Prep Journeys</t>
  </si>
  <si>
    <t>Prep Journeys
Review and Test 26a NF Template</t>
  </si>
  <si>
    <r>
      <rPr>
        <sz val="10"/>
        <color rgb="FF000000"/>
        <rFont val="Calibri"/>
      </rPr>
      <t xml:space="preserve">Prep Journeys
</t>
    </r>
    <r>
      <rPr>
        <b/>
        <sz val="10"/>
        <color rgb="FF000000"/>
        <rFont val="Calibri"/>
      </rPr>
      <t xml:space="preserve">Live Session th 4th
Benefits Life Events
</t>
    </r>
    <r>
      <rPr>
        <sz val="10"/>
        <color rgb="FF000000"/>
        <rFont val="Calibri"/>
      </rPr>
      <t>Review and Test 26a NF Template</t>
    </r>
  </si>
  <si>
    <t xml:space="preserve">Prep Journeys
Review and Test 26a NF Template
CPS Scoping
Memorial Hermann Hospital Scoping
</t>
  </si>
  <si>
    <t xml:space="preserve">Prep Journeys
CPS Scoping
Memorial Hermann Hospital Scoping
</t>
  </si>
  <si>
    <t>Prep Journeys
Review and Test 26a NF Template
CPS Scoping
Memorial Hermann Hospital Scoping
GHR Exam Peer Review
(Received Dec 09th)</t>
  </si>
  <si>
    <t>Prep Journeys
Review and Test 26a NF Template
CPS Scoping
Memorial Hermann Hospital Scoping
GHR Exam Peer Review</t>
  </si>
  <si>
    <t>Prep Journeys
CPS Scoping
Memorial Hermann Hospital Scoping
GHR Exam Peer Review</t>
  </si>
  <si>
    <t>26A BOM m-t
Initial 26A Impact Analysis</t>
  </si>
  <si>
    <t>PTO Dec w-f
Dec 17 – 19</t>
  </si>
  <si>
    <r>
      <rPr>
        <b/>
        <sz val="10"/>
        <color rgb="FFFF0000"/>
        <rFont val="Calibri"/>
      </rPr>
      <t xml:space="preserve">Holiday th
Winter Break f
PTO m-w &amp; f
Dec 22 – 24 and 26
</t>
    </r>
    <r>
      <rPr>
        <b/>
        <sz val="10"/>
        <color rgb="FF000000"/>
        <rFont val="Calibri"/>
      </rPr>
      <t>CPS Tailoring</t>
    </r>
  </si>
  <si>
    <t>Holiday th
Winter Break f
PTO m-w &amp; f
Dec 22 – 24 and 26</t>
  </si>
  <si>
    <t>Winter Break m-w
Holiday th
PTO Dec 29 – 31 &amp; Jan 2
m-w &amp; f
(Winter Break)</t>
  </si>
  <si>
    <r>
      <rPr>
        <b/>
        <sz val="10"/>
        <color rgb="FFFF0000"/>
        <rFont val="Calibri"/>
      </rPr>
      <t xml:space="preserve">Winter Break m-w
Holiday th
PTO Dec 29 – 31 &amp; Jan 2
m-w &amp; f
(Winter Break)
</t>
    </r>
    <r>
      <rPr>
        <b/>
        <sz val="10"/>
        <color rgb="FF000000"/>
        <rFont val="Calibri"/>
      </rPr>
      <t>CPS Tailoring</t>
    </r>
  </si>
  <si>
    <r>
      <rPr>
        <sz val="10"/>
        <color rgb="FF000000"/>
        <rFont val="Calibri"/>
      </rPr>
      <t xml:space="preserve">26A NFs
</t>
    </r>
    <r>
      <rPr>
        <b/>
        <sz val="10"/>
        <color rgb="FF000000"/>
        <rFont val="Calibri"/>
      </rPr>
      <t>26A NF BOM Impact Analysis
CPS PRV Assistance</t>
    </r>
  </si>
  <si>
    <t>OOO m-t 12th-13th pm</t>
  </si>
  <si>
    <t xml:space="preserve">26A NFs
Recording Last 2 NF on 20th
</t>
  </si>
  <si>
    <r>
      <rPr>
        <sz val="10"/>
        <color rgb="FF000000"/>
        <rFont val="Calibri"/>
      </rPr>
      <t xml:space="preserve">26A NFs
Recording Last 2 NF on 20th
</t>
    </r>
    <r>
      <rPr>
        <b/>
        <sz val="10"/>
        <color rgb="FF000000"/>
        <rFont val="Calibri"/>
      </rPr>
      <t>Navigator How-To Workshop</t>
    </r>
  </si>
  <si>
    <t xml:space="preserve">26A NFs Recording Fixes from Feeback (Technical Editing, not content)
Assisting Kurt and Sarah with NF Issues
</t>
  </si>
  <si>
    <r>
      <rPr>
        <sz val="10"/>
        <color rgb="FF000000"/>
        <rFont val="Calibri"/>
      </rPr>
      <t xml:space="preserve">Review 26A Extensibility and Journeys with Joe Goode for 26A Update
</t>
    </r>
    <r>
      <rPr>
        <b/>
        <sz val="10"/>
        <color rgb="FF000000"/>
        <rFont val="Calibri"/>
      </rPr>
      <t>Oracle AI Data Platform Essentials</t>
    </r>
  </si>
  <si>
    <t>Design:
26A Benefits - Using &amp; Configure (combined now)</t>
  </si>
  <si>
    <t xml:space="preserve">MyLearn AI-Assist feature testing </t>
  </si>
  <si>
    <t>2026 Exam Uplift : 1053-25 - Benefits
Awaiting feedback from Design:
26A Benefits - Using &amp; Configure (combined now)
26A Benefits - Resolving VT Issues</t>
  </si>
  <si>
    <t>2026 Exam Uplift : 1053-25 - Benefits
26A Benefits - Resolving VT Issues
Awaiting feedback from Design:
26A Benefits - Using &amp; Configure (combined now)</t>
  </si>
  <si>
    <r>
      <rPr>
        <b/>
        <sz val="10"/>
        <color rgb="FF000000"/>
        <rFont val="Calibri"/>
      </rPr>
      <t xml:space="preserve">Live Session:
</t>
    </r>
    <r>
      <rPr>
        <sz val="10"/>
        <color rgb="FF000000"/>
        <rFont val="Calibri"/>
      </rPr>
      <t>Overview of Workforce Modeling
2026 Exam Uplift : 1053-25 - Benefits
Awaiting feedback from Design:
26A Benefits - Using &amp; Configure (combined now)</t>
    </r>
  </si>
  <si>
    <r>
      <rPr>
        <sz val="10"/>
        <color rgb="FF000000"/>
        <rFont val="Calibri"/>
      </rPr>
      <t xml:space="preserve">2026 Exam Uplift : 1053-25 - Benefits
</t>
    </r>
    <r>
      <rPr>
        <b/>
        <sz val="10"/>
        <color rgb="FFFF0000"/>
        <rFont val="Calibri"/>
      </rPr>
      <t xml:space="preserve">Available for Peer Review After Today - must be back by Feb 23
 DO NOT MOVE for ANY REASON 
</t>
    </r>
    <r>
      <rPr>
        <sz val="10"/>
        <color rgb="FF000000"/>
        <rFont val="Calibri"/>
      </rPr>
      <t xml:space="preserve">
Awaiting feedback from Design:
26A Benefits - Using &amp; Configure (combined now)</t>
    </r>
  </si>
  <si>
    <t>Uplift:
26A Benefits - Using &amp; Configure (combined now)</t>
  </si>
  <si>
    <r>
      <rPr>
        <sz val="10"/>
        <color rgb="FF000000"/>
        <rFont val="Calibri"/>
      </rPr>
      <t xml:space="preserve">2026 Exam Uplift : 1053-25 - Benefits
</t>
    </r>
    <r>
      <rPr>
        <b/>
        <sz val="10"/>
        <color rgb="FFFF0000"/>
        <rFont val="Calibri"/>
      </rPr>
      <t xml:space="preserve">FIXES DAY
Last Day Working on Exam
 DO NOT MOVE for ANY REASON 
</t>
    </r>
  </si>
  <si>
    <t>Awaiting Journeys 26A and Extensibility 26A from Infodev
VT Benefits
Update Benefits AG</t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</si>
  <si>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S Oracle Fusion Cloud HCM: Journeys 26A
Use AI to generate Narration
PUSHED from Dec 17th Handoff as Infodev is udpating 26A
</t>
    </r>
    <r>
      <rPr>
        <sz val="10"/>
        <color rgb="FFFF0000"/>
        <rFont val="Calibri"/>
      </rPr>
      <t xml:space="preserve">DO NOT MOVE - CANNOT PUSH AGAIN
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</si>
  <si>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S Oracle Fusion Cloud HCM: Journeys 26A
Use AI to generate Narration
PUSHED from Dec 17th Handoff as Infodev is udpating 26A
</t>
    </r>
    <r>
      <rPr>
        <sz val="10"/>
        <color rgb="FFFF0000"/>
        <rFont val="Calibri"/>
      </rPr>
      <t xml:space="preserve">DO NOT MOVE - CANNOT PUSH AGAIN
</t>
    </r>
    <r>
      <rPr>
        <b/>
        <sz val="10"/>
        <color rgb="FF000000"/>
        <rFont val="Calibri"/>
      </rPr>
      <t xml:space="preserve">
TESTING AI Enabled MyLearn - complete by March 10th</t>
    </r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</si>
  <si>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S Oracle Fusion Cloud HCM: Journeys 26A
Use AI to generate Narration
PUSHED from Dec 17th Handoff as Infodev is udpating 26A
</t>
    </r>
    <r>
      <rPr>
        <b/>
        <sz val="10"/>
        <color rgb="FF000000"/>
        <rFont val="Calibri"/>
      </rPr>
      <t xml:space="preserve">
TESTING AI Enabled MyLearn - complete by March 10th</t>
    </r>
  </si>
  <si>
    <r>
      <rPr>
        <sz val="10"/>
        <color rgb="FF000000"/>
        <rFont val="Calibri"/>
      </rPr>
      <t xml:space="preserve">26A Item Writing : 1046-25 - GHR
(With Rohit &amp; Sarah)
</t>
    </r>
    <r>
      <rPr>
        <b/>
        <sz val="10"/>
        <color rgb="FFFF0000"/>
        <rFont val="Calibri"/>
      </rPr>
      <t xml:space="preserve"> DO NOT MOVE for ANY REASON 
</t>
    </r>
    <r>
      <rPr>
        <b/>
        <sz val="10"/>
        <color rgb="FF000000"/>
        <rFont val="Calibri"/>
      </rPr>
      <t>RECORD:
S Oracle Fusion Cloud HCM: Journeys 26A
(Environments not available Sunday)
Use AI to generate Narration</t>
    </r>
  </si>
  <si>
    <r>
      <rPr>
        <b/>
        <sz val="10"/>
        <color rgb="FFFF0000"/>
        <rFont val="Calibri"/>
      </rPr>
      <t xml:space="preserve">OOO AM
</t>
    </r>
    <r>
      <rPr>
        <sz val="10"/>
        <color rgb="FF000000"/>
        <rFont val="Calibri"/>
      </rPr>
      <t xml:space="preserve">
26B BOM Assessment</t>
    </r>
  </si>
  <si>
    <r>
      <rPr>
        <b/>
        <sz val="10"/>
        <color rgb="FF000000"/>
        <rFont val="Calibri"/>
      </rPr>
      <t xml:space="preserve">PEER REVIEW - CANNOT BE MOVED
</t>
    </r>
    <r>
      <rPr>
        <sz val="10"/>
        <color rgb="FF000000"/>
        <rFont val="Calibri"/>
      </rPr>
      <t xml:space="preserve">26A Item Writing : 1046-25 - GHR
</t>
    </r>
    <r>
      <rPr>
        <b/>
        <sz val="10"/>
        <color rgb="FFFF0000"/>
        <rFont val="Calibri"/>
      </rPr>
      <t xml:space="preserve"> DO NOT MOVE for ANY REASON </t>
    </r>
  </si>
  <si>
    <r>
      <rPr>
        <b/>
        <sz val="10"/>
        <color rgb="FF000000"/>
        <rFont val="Calibri"/>
      </rPr>
      <t xml:space="preserve">DESIGN DOC: 
Design &amp; Uplift to incorporate additional AI Agent Details
</t>
    </r>
    <r>
      <rPr>
        <sz val="10"/>
        <color rgb="FF000000"/>
        <rFont val="Calibri"/>
      </rPr>
      <t>26A Benefits - Using &amp; Configure (combined now)
Use AI to generate Narration</t>
    </r>
  </si>
  <si>
    <r>
      <rPr>
        <b/>
        <sz val="10"/>
        <color rgb="FF000000"/>
        <rFont val="Calibri"/>
      </rPr>
      <t xml:space="preserve">Uplift Content to incorporate additional AI Agent Details
</t>
    </r>
    <r>
      <rPr>
        <sz val="10"/>
        <color rgb="FF000000"/>
        <rFont val="Calibri"/>
      </rPr>
      <t>26A Benefits - Using &amp; Configure (combined now)
Use AI to generate Narration</t>
    </r>
  </si>
  <si>
    <r>
      <rPr>
        <b/>
        <sz val="10"/>
        <color rgb="FF000000"/>
        <rFont val="Calibri"/>
      </rPr>
      <t xml:space="preserve">Uplift Content to incorporate additional AI Agent Details
</t>
    </r>
    <r>
      <rPr>
        <sz val="10"/>
        <color rgb="FF000000"/>
        <rFont val="Calibri"/>
      </rPr>
      <t>26A Benefits - Using &amp; Configure (combined now)
Completed
Use AI to generate Narration</t>
    </r>
  </si>
  <si>
    <t>VT issues with Oracle Fusion Cloud HCM: Benefits</t>
  </si>
  <si>
    <r>
      <rPr>
        <b/>
        <sz val="10"/>
        <color rgb="FF000000"/>
        <rFont val="Calibri"/>
      </rPr>
      <t xml:space="preserve">VT issues with Oracle Fusion Cloud HCM: Benefits
</t>
    </r>
    <r>
      <rPr>
        <b/>
        <sz val="10"/>
        <color rgb="FFFF0000"/>
        <rFont val="Calibri"/>
      </rPr>
      <t xml:space="preserve">Standtill due to env issues
</t>
    </r>
    <r>
      <rPr>
        <b/>
        <sz val="10"/>
        <color rgb="FF000000"/>
        <rFont val="Calibri"/>
      </rPr>
      <t xml:space="preserve">
MyLearn AI Testing in PROD</t>
    </r>
  </si>
  <si>
    <r>
      <rPr>
        <b/>
        <sz val="10"/>
        <color rgb="FF000000"/>
        <rFont val="Calibri"/>
      </rPr>
      <t xml:space="preserve">LIVE SESSION:
Unlocking Journeys in Oracle HCM - CLS Live
Uplift Design Doc and Content to incorporate AI Agents
</t>
    </r>
    <r>
      <rPr>
        <sz val="10"/>
        <color rgb="FF000000"/>
        <rFont val="Calibri"/>
      </rPr>
      <t xml:space="preserve">Oracle Fusion Cloud HCM: Extensibiity and Visual Builder Studio Express 26a
</t>
    </r>
    <r>
      <rPr>
        <b/>
        <sz val="10"/>
        <color rgb="FF000000"/>
        <rFont val="Calibri"/>
      </rPr>
      <t xml:space="preserve">
Use AI to generate Design Doc, Content and Narration
Pushed from Handoff Dec 5th as Infodev is updating 26A</t>
    </r>
  </si>
  <si>
    <r>
      <rPr>
        <b/>
        <sz val="10"/>
        <color rgb="FF000000"/>
        <rFont val="Calibri"/>
      </rPr>
      <t xml:space="preserve">Uplift Design Doc and Content to incorporate AI Agents
</t>
    </r>
    <r>
      <rPr>
        <sz val="10"/>
        <color rgb="FF000000"/>
        <rFont val="Calibri"/>
      </rPr>
      <t xml:space="preserve">Oracle Fusion Cloud HCM: Extensibiity and Visual Builder Studio Express 26a
</t>
    </r>
    <r>
      <rPr>
        <b/>
        <sz val="10"/>
        <color rgb="FF000000"/>
        <rFont val="Calibri"/>
      </rPr>
      <t xml:space="preserve">
Use AI to generate Design Doc, Content and Narration
Pushed from Handoff Dec 5th as Infodev is updating 26A
Pushed again from March 26 for Benefits VT</t>
    </r>
  </si>
  <si>
    <t>EXAM 26B Uplift 1053-25 - Benefits Delta
Day 1</t>
  </si>
  <si>
    <t>EXAM 26B Uplift 1053-25 - Benefits
Day 2</t>
  </si>
  <si>
    <t>EXAM 26B Uplift 1053-25 - Benefits
Day 3</t>
  </si>
  <si>
    <t>EXAM 26B Uplift 1053-25 - Benefits
Day 4</t>
  </si>
  <si>
    <r>
      <rPr>
        <b/>
        <sz val="10"/>
        <color rgb="FF000000"/>
        <rFont val="Calibri"/>
      </rPr>
      <t xml:space="preserve">Recording: 
</t>
    </r>
    <r>
      <rPr>
        <sz val="10"/>
        <color rgb="FF000000"/>
        <rFont val="Calibri"/>
      </rPr>
      <t xml:space="preserve">Oracle Fusion Cloud HCM: Extensibiity and Visual Builder Studio Express 26a
</t>
    </r>
    <r>
      <rPr>
        <b/>
        <sz val="10"/>
        <color rgb="FF000000"/>
        <rFont val="Calibri"/>
      </rPr>
      <t xml:space="preserve">
Use AI to generate Narration
</t>
    </r>
  </si>
  <si>
    <t>EXAM 26B Uplift 1053-25 - Benefits
Day 5- Peer Review Fixes</t>
  </si>
  <si>
    <r>
      <rPr>
        <b/>
        <sz val="10"/>
        <color rgb="FF000000"/>
        <rFont val="Calibri"/>
      </rPr>
      <t xml:space="preserve">Design Doc:
</t>
    </r>
    <r>
      <rPr>
        <sz val="10"/>
        <color rgb="FF000000"/>
        <rFont val="Calibri"/>
      </rPr>
      <t xml:space="preserve">26B Benefits - Using &amp; Configure (combined now)
</t>
    </r>
  </si>
  <si>
    <r>
      <rPr>
        <b/>
        <sz val="10"/>
        <color rgb="FF000000"/>
        <rFont val="Calibri"/>
      </rPr>
      <t>Design Doc</t>
    </r>
    <r>
      <rPr>
        <sz val="10"/>
        <color rgb="FF000000"/>
        <rFont val="Calibri"/>
      </rPr>
      <t xml:space="preserve"> Journeys (AI &amp; 26B)</t>
    </r>
  </si>
  <si>
    <r>
      <rPr>
        <b/>
        <sz val="10"/>
        <color rgb="FF000000"/>
        <rFont val="Calibri"/>
      </rPr>
      <t xml:space="preserve">Design Doc Fixes:
</t>
    </r>
    <r>
      <rPr>
        <sz val="10"/>
        <color rgb="FF000000"/>
        <rFont val="Calibri"/>
      </rPr>
      <t xml:space="preserve">26B Benefits - Using &amp; Configure (combined now)
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</si>
  <si>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26B Benefits - Using &amp; Configure (combined now)</t>
    </r>
  </si>
  <si>
    <r>
      <rPr>
        <b/>
        <sz val="10"/>
        <color rgb="FF000000"/>
        <rFont val="Calibri"/>
      </rPr>
      <t xml:space="preserve">Content Dev: </t>
    </r>
    <r>
      <rPr>
        <sz val="10"/>
        <color rgb="FF000000"/>
        <rFont val="Calibri"/>
      </rPr>
      <t xml:space="preserve"> 26B Benefits - Using &amp; Configure (combined now)
</t>
    </r>
    <r>
      <rPr>
        <b/>
        <sz val="10"/>
        <color rgb="FF000000"/>
        <rFont val="Calibri"/>
      </rPr>
      <t xml:space="preserve">Round 3 </t>
    </r>
    <r>
      <rPr>
        <sz val="10"/>
        <color rgb="FF000000"/>
        <rFont val="Calibri"/>
      </rPr>
      <t>: MyLearn AI Testing in PROD - Exam Prep (due)</t>
    </r>
  </si>
  <si>
    <r>
      <rPr>
        <b/>
        <sz val="10"/>
        <color rgb="FF000000"/>
        <rFont val="Calibri"/>
      </rPr>
      <t>Content Dev:</t>
    </r>
    <r>
      <rPr>
        <sz val="10"/>
        <color rgb="FF000000"/>
        <rFont val="Calibri"/>
      </rPr>
      <t xml:space="preserve"> Journeys (AI &amp; 26B)</t>
    </r>
  </si>
  <si>
    <t xml:space="preserve">Live Session - June 4 - Oracle HCM’s Secret Weapon: Guided Journeys That Actually Deliver
</t>
  </si>
  <si>
    <t>Skill Checks:  Benefits/Extendsibility/Journeys</t>
  </si>
  <si>
    <t>Skill Checks:  Benefits/Extensibility/Journeys</t>
  </si>
  <si>
    <t>Benefits NF 26C</t>
  </si>
  <si>
    <t>Record/VT:  Benefits 26B Labs</t>
  </si>
  <si>
    <t>26C NF (21 features; 3 features per day; 7 days)</t>
  </si>
  <si>
    <t>Jury Duty</t>
  </si>
  <si>
    <r>
      <rPr>
        <b/>
        <sz val="10"/>
        <color rgb="FF000000"/>
        <rFont val="Calibri"/>
      </rPr>
      <t>Develop:</t>
    </r>
    <r>
      <rPr>
        <sz val="10"/>
        <color rgb="FF000000"/>
        <rFont val="Calibri"/>
      </rPr>
      <t xml:space="preserve">  Benefits Imp 26C</t>
    </r>
  </si>
  <si>
    <r>
      <rPr>
        <b/>
        <sz val="10"/>
        <color rgb="FF000000"/>
        <rFont val="Calibri"/>
      </rPr>
      <t>Develop:</t>
    </r>
    <r>
      <rPr>
        <sz val="10"/>
        <color rgb="FF000000"/>
        <rFont val="Calibri"/>
      </rPr>
      <t xml:space="preserve">  Journeys Imp 26C</t>
    </r>
  </si>
  <si>
    <r>
      <rPr>
        <b/>
        <sz val="10"/>
        <color rgb="FF000000"/>
        <rFont val="Calibri"/>
      </rPr>
      <t>Develop:</t>
    </r>
    <r>
      <rPr>
        <sz val="10"/>
        <color rgb="FF000000"/>
        <rFont val="Calibri"/>
      </rPr>
      <t xml:space="preserve">  Journeys Imp 26C
</t>
    </r>
    <r>
      <rPr>
        <b/>
        <sz val="10"/>
        <color rgb="FF000000"/>
        <rFont val="Calibri"/>
      </rPr>
      <t xml:space="preserve">Develop: </t>
    </r>
    <r>
      <rPr>
        <sz val="10"/>
        <color rgb="FF000000"/>
        <rFont val="Calibri"/>
      </rPr>
      <t xml:space="preserve"> Beneifts Imp 26C</t>
    </r>
  </si>
  <si>
    <r>
      <rPr>
        <b/>
        <sz val="10"/>
        <color rgb="FF000000"/>
        <rFont val="Calibri"/>
      </rPr>
      <t xml:space="preserve">Develop: </t>
    </r>
    <r>
      <rPr>
        <sz val="10"/>
        <color rgb="FF000000"/>
        <rFont val="Calibri"/>
      </rPr>
      <t xml:space="preserve"> Journeys Imp 26C</t>
    </r>
  </si>
  <si>
    <r>
      <t xml:space="preserve">Develop: </t>
    </r>
    <r>
      <rPr>
        <sz val="10"/>
        <color rgb="FF000000"/>
        <rFont val="Calibri"/>
        <charset val="1"/>
      </rPr>
      <t>Beneifts Imp 26C</t>
    </r>
  </si>
  <si>
    <t>BOM for Journeys &amp; Benefits</t>
  </si>
  <si>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>Intro to AI for HCM (half day)</t>
    </r>
  </si>
  <si>
    <r>
      <rPr>
        <b/>
        <sz val="10"/>
        <color rgb="FF000000"/>
        <rFont val="Calibri"/>
      </rPr>
      <t xml:space="preserve">Develop: </t>
    </r>
    <r>
      <rPr>
        <sz val="10"/>
        <color rgb="FF000000"/>
        <rFont val="Calibri"/>
      </rPr>
      <t xml:space="preserve"> AI for HCM Assessment
</t>
    </r>
    <r>
      <rPr>
        <b/>
        <sz val="10"/>
        <color rgb="FF000000"/>
        <rFont val="Calibri"/>
      </rPr>
      <t xml:space="preserve">Develop:  </t>
    </r>
    <r>
      <rPr>
        <sz val="10"/>
        <color rgb="FF000000"/>
        <rFont val="Calibri"/>
      </rPr>
      <t>AI for HCM</t>
    </r>
  </si>
  <si>
    <t>26D NFs Cont Dev</t>
  </si>
  <si>
    <r>
      <rPr>
        <b/>
        <sz val="10"/>
        <color rgb="FF000000"/>
        <rFont val="Calibri"/>
      </rPr>
      <t>Record</t>
    </r>
    <r>
      <rPr>
        <sz val="10"/>
        <color rgb="FF000000"/>
        <rFont val="Calibri"/>
      </rPr>
      <t>:  Journeys</t>
    </r>
  </si>
  <si>
    <t>CLS Live Session - Oct 1</t>
  </si>
  <si>
    <r>
      <rPr>
        <sz val="11"/>
        <color rgb="FFFF0000"/>
        <rFont val="Aptos Narrow"/>
      </rPr>
      <t xml:space="preserve">OOTO in the AM
</t>
    </r>
    <r>
      <rPr>
        <b/>
        <sz val="11"/>
        <color rgb="FF242424"/>
        <rFont val="Aptos Narrow"/>
      </rPr>
      <t>Record:</t>
    </r>
    <r>
      <rPr>
        <sz val="11"/>
        <color rgb="FF242424"/>
        <rFont val="Aptos Narrow"/>
      </rPr>
      <t xml:space="preserve">  Journeys</t>
    </r>
  </si>
  <si>
    <r>
      <rPr>
        <b/>
        <sz val="10"/>
        <color rgb="FF000000"/>
        <rFont val="Aptos Narrow"/>
        <scheme val="minor"/>
      </rPr>
      <t xml:space="preserve">Record:  </t>
    </r>
    <r>
      <rPr>
        <sz val="10"/>
        <color rgb="FF000000"/>
        <rFont val="Aptos Narrow"/>
        <scheme val="minor"/>
      </rPr>
      <t>Benefits</t>
    </r>
  </si>
  <si>
    <t>Live Session - Dec 17</t>
  </si>
  <si>
    <r>
      <t>Hand off</t>
    </r>
    <r>
      <rPr>
        <b/>
        <sz val="10"/>
        <color rgb="FFFF0000"/>
        <rFont val="Calibri"/>
        <family val="2"/>
      </rPr>
      <t xml:space="preserve"> TBD</t>
    </r>
    <r>
      <rPr>
        <b/>
        <sz val="10"/>
        <color rgb="FF7030A0"/>
        <rFont val="Calibri"/>
        <family val="2"/>
      </rPr>
      <t>:
INFODEV:
Recording
Oracle Fusion Cloud HCM: Configure Enterprise &amp; Workforce Structures 25c: InfoDev Recording (14 - 1.7)
17 Lessons, 21 Labs</t>
    </r>
  </si>
  <si>
    <t>AI Cert Prep
AI Cert Exam</t>
  </si>
  <si>
    <t>HCM PRP
BHE Training Env Meeting
25D New Features
EXPLORE
Check Environments
(13)</t>
  </si>
  <si>
    <t>Walkthrough: 25D Unboxing &amp; NF Template
BHE Training Env Meeting
25D New Features
EXPLORE
Check Environments
(13)
OOO pm</t>
  </si>
  <si>
    <t>Steve NF Chat Working Session
BHE Training Env Meeting
25D New Features
EXPLORE
Check Environments
(13)</t>
  </si>
  <si>
    <t>BHE Training
BHE Environment Setup
25D New Features
EXPLORE
Check Environments
(13)</t>
  </si>
  <si>
    <t>BHE Meeting
25D New Features
Content Development
(11)</t>
  </si>
  <si>
    <t>HCP PRP
BHE Meeting
BHE Training Meeting (Finance)
25D New Features
Content Development
(11)</t>
  </si>
  <si>
    <t>EPM  Scoping Call
BHE Training Meeting (Finance)
25D New Features
Content Development
(11)
Communities Questions</t>
  </si>
  <si>
    <t>25D New Features
Content Development
(11)
Submitted ppt for review
1 recorded (Sample)
1 for tomorrow
0 in progress
7 in queue
2 Outstanding Issues with Demo Services</t>
  </si>
  <si>
    <t>BHE (1 HR)
T&amp;L Exam Healthchecks
25D New Features
Content Development
(11)
Submitted ppt for review
1 recorded
2 for tomorrow
0 in progress
5 in queue
2 Outstanding Issues with Demo Services
1 Completed</t>
  </si>
  <si>
    <t>HCM PRP
BHE (1 HR)
T&amp;L Exam Healthchecks
25D New Features
Content Development
(11)
Awaiting feedback on Sample Video
Submitted ppt for review
2 recorded
2 for tomorrow
0 in progress
3 in queue
2 Outstanding Issues with Demo Services
2 Completed</t>
  </si>
  <si>
    <t>BHE (1 HR)
T&amp;L Exam Healthchecks
25D New Features
Content Development
(11)
Reviewing Sample Video feedback
Reviewing Outstanding Issues with Demo Services
Reaching out to Product</t>
  </si>
  <si>
    <t>BHE (3 HRS)
T&amp;L Exam Healthchecks
25D New Features
Content Development
(11)
0 recorded
2 for tomorrow
0 in progress
3 in queue
2 Outstanding Issues with Demo Services
4 Completed
CSS FY26 October Stay Connected All Hands with Gary Miller</t>
  </si>
  <si>
    <t>BHE (2 HRS)
T&amp;L Exam Healthchecks
25D New Features
Content Development
(11)
Friday-Saturday
1 recorded
3 for tomorrow
0 in progress
1 in queue
2 Outstanding Issues with Demo Services
4 Completed</t>
  </si>
  <si>
    <t>HCP PRP
T&amp;L Exam Healthchecks
25D New Features
Content Development
(11)
Troubleshooting Environment
0 recorded
3 for tomorrow
0 in progress
1 in queue
2 Outstanding Issues with Demo Services
5 Completed</t>
  </si>
  <si>
    <t>BHE (1 HR)
T&amp;L Exam Healthchecks
25D New Features
Content Development
(11)
Troubleshooting Environment
Awaiting feedback from Reviews</t>
  </si>
  <si>
    <t>BHE (2 HRS)
T&amp;L Exam Healthchecks
25D New Features
Content Development
(11)
Troubleshooting Environment
Awaiting Feedback from Reviews
0 recorded
3 for tomorrow
0 in progress
1 in queue
2 Outstanding Issues with Demo Services
5 Completed</t>
  </si>
  <si>
    <t>BHE (3 HRS)
Open Enrollment Meeting
T&amp;L Exam Healthchecks
25D New Features
Content Development
(11)
Troubleshooting Environment
Received Feedback / incorporating feedback
0 recorded
3 for tomorrow
0 in progress
1 in queue
2 Outstanding Issues with Demo Services
5 Completed</t>
  </si>
  <si>
    <r>
      <t>PTO m</t>
    </r>
    <r>
      <rPr>
        <sz val="10"/>
        <color rgb="FF000000"/>
        <rFont val="Calibri"/>
        <family val="2"/>
      </rPr>
      <t xml:space="preserve">
25D New Features
Unboxing is Final one - complete Friday
Delta Exam complete Fri</t>
    </r>
    <r>
      <rPr>
        <b/>
        <sz val="10"/>
        <color rgb="FFFF0000"/>
        <rFont val="Calibri"/>
        <family val="2"/>
      </rPr>
      <t xml:space="preserve">
Complete NF Assessment as needed</t>
    </r>
  </si>
  <si>
    <r>
      <rPr>
        <b/>
        <sz val="10"/>
        <color rgb="FFFF0000"/>
        <rFont val="Calibri"/>
      </rPr>
      <t xml:space="preserve">PTO m
</t>
    </r>
    <r>
      <rPr>
        <b/>
        <sz val="10"/>
        <color rgb="FF7030A0"/>
        <rFont val="Calibri"/>
      </rPr>
      <t xml:space="preserve">
</t>
    </r>
  </si>
  <si>
    <r>
      <rPr>
        <b/>
        <sz val="10"/>
        <color rgb="FFFF0000"/>
        <rFont val="Calibri"/>
      </rPr>
      <t xml:space="preserve">Holiday t
</t>
    </r>
    <r>
      <rPr>
        <b/>
        <sz val="10"/>
        <color rgb="FF7030A0"/>
        <rFont val="Calibri"/>
      </rPr>
      <t xml:space="preserve">
</t>
    </r>
  </si>
  <si>
    <r>
      <rPr>
        <b/>
        <sz val="10"/>
        <color rgb="FF7030A0"/>
        <rFont val="Calibri"/>
      </rPr>
      <t xml:space="preserve">INFODEV HANDOFF Sep 30:
Recording Oracle Fusion Cloud HCM: Time and Labor with Payroll 25C 2.0 (14 - 1.72)
31 Lessons
25 Labs
Scripting
</t>
    </r>
    <r>
      <rPr>
        <sz val="10"/>
        <color rgb="FF000000"/>
        <rFont val="Calibri"/>
      </rPr>
      <t xml:space="preserve">
Absence policy to compliance and workforce schedule to payment will be the OMBP for T&amp;L
BHE - FInish Planner for Financials for last updates (2-3 hours) Capital Projects, OFCS,and SCM still TBD</t>
    </r>
  </si>
  <si>
    <t>INFODEV HANDOFF Sep 30:
Recording Oracle Fusion Cloud HCM: Time and Labor with Payroll 25C 2.0 (14 - 1.72)
31 Lessons
25 Labs
Scripting</t>
  </si>
  <si>
    <r>
      <rPr>
        <b/>
        <sz val="10"/>
        <color rgb="FF7030A0"/>
        <rFont val="Calibri"/>
      </rPr>
      <t xml:space="preserve">INFODEV HANDOFF Sep 30:
Recording Oracle Fusion Cloud HCM: Time and Labor with Payroll 25C 2.0 (14 - 1.72)
31 Lessons
25 Labs
Scripting
</t>
    </r>
    <r>
      <rPr>
        <b/>
        <sz val="10"/>
        <color rgb="FF000000"/>
        <rFont val="Calibri"/>
      </rPr>
      <t xml:space="preserve">BHE - reviewing the training environment refresh support deliverable. </t>
    </r>
  </si>
  <si>
    <r>
      <rPr>
        <b/>
        <sz val="10"/>
        <color rgb="FF7030A0"/>
        <rFont val="Calibri"/>
      </rPr>
      <t xml:space="preserve">Recording Oracle Fusion Cloud HCM: Time and Labor with Payroll 25C 2.0 (14 - 1.72)
31 Lessons
25 Labs
</t>
    </r>
    <r>
      <rPr>
        <sz val="10"/>
        <color rgb="FF000000"/>
        <rFont val="Calibri"/>
      </rPr>
      <t>Absence policy to compliance and workforce schedule to payment will be the OMBP for T&amp;L</t>
    </r>
  </si>
  <si>
    <r>
      <rPr>
        <b/>
        <sz val="10"/>
        <color rgb="FF000000"/>
        <rFont val="Calibri"/>
      </rPr>
      <t xml:space="preserve">Live Session t 18th
Redwood Time Card Templates
</t>
    </r>
    <r>
      <rPr>
        <b/>
        <sz val="10"/>
        <color rgb="FF7030A0"/>
        <rFont val="Calibri"/>
      </rPr>
      <t xml:space="preserve">
Recording Oracle Fusion Cloud HCM: Time and Labor with Payroll 25C 2.0 (14 - 1.72)
31 Lessons
25 Labs</t>
    </r>
  </si>
  <si>
    <r>
      <rPr>
        <b/>
        <sz val="10"/>
        <color rgb="FF7030A0"/>
        <rFont val="Calibri"/>
      </rPr>
      <t xml:space="preserve">Recording Oracle Fusion Cloud HCM: Time and Labor with Payroll 25C 2.0 (14 - 1.72)
31 Lessons
25 Labs
</t>
    </r>
    <r>
      <rPr>
        <sz val="10"/>
        <color rgb="FF000000"/>
        <rFont val="Calibri"/>
      </rPr>
      <t>BHE Updating Planner</t>
    </r>
  </si>
  <si>
    <t xml:space="preserve">Recording Oracle Fusion Cloud HCM: Time and Labor with Payroll 25C 2.0 (14 - 1.72)
31 Lessons
25 Labs
</t>
  </si>
  <si>
    <r>
      <rPr>
        <b/>
        <sz val="10"/>
        <color rgb="FF7030A0"/>
        <rFont val="Calibri"/>
      </rPr>
      <t xml:space="preserve">INFODEV:
Recording
Oracle Fusion Cloud HCM: Time and Labor with Payroll 25C 2.0 Course
(14 - 1.72)
31 Lessons
25 Labs
</t>
    </r>
    <r>
      <rPr>
        <sz val="10"/>
        <color rgb="FF000000"/>
        <rFont val="Calibri"/>
      </rPr>
      <t>Absence policy to compliance and workforce schedule to payment will be the OMBP for T&amp;L</t>
    </r>
  </si>
  <si>
    <t>INFODEV:
Recording
Oracle Fusion Cloud HCM: Time and Labor with Payroll 25C 2.0 Course
(14 - 1.72)
31 Lessons
25 Labs</t>
  </si>
  <si>
    <t>INFODEV:
Recording
Oracle Fusion Cloud HCM: Time and Labor with Payroll 25C 2.0 Course
(14 - 1.72)
31 Lessons (8 completed)
25 Labs (19 completed)</t>
  </si>
  <si>
    <r>
      <rPr>
        <b/>
        <sz val="10"/>
        <color rgb="FFFF0000"/>
        <rFont val="Calibri"/>
      </rPr>
      <t xml:space="preserve">OOO 1/2 day
</t>
    </r>
    <r>
      <rPr>
        <b/>
        <sz val="10"/>
        <color rgb="FF7030A0"/>
        <rFont val="Calibri"/>
      </rPr>
      <t xml:space="preserve">
INFODEV:
Recording
Oracle Fusion Cloud HCM: Time and Labor with Payroll 25C 2.0 Course
(14 - 1.72)
31 Lessons
25 Labs</t>
    </r>
  </si>
  <si>
    <r>
      <rPr>
        <b/>
        <sz val="10"/>
        <color rgb="FFFF0000"/>
        <rFont val="Calibri"/>
      </rPr>
      <t xml:space="preserve">OOO 1/2 day
</t>
    </r>
    <r>
      <rPr>
        <b/>
        <sz val="10"/>
        <color rgb="FF7030A0"/>
        <rFont val="Calibri"/>
      </rPr>
      <t xml:space="preserve">
INFODEV:
Recording
Oracle Fusion Cloud HCM: Time and Labor with Payroll 25C 2.0 Course
(14 - 1.72)
31 Lessons
25 Labs
</t>
    </r>
    <r>
      <rPr>
        <sz val="10"/>
        <color rgb="FF000000"/>
        <rFont val="Calibri"/>
      </rPr>
      <t>Absence policy to compliance and workforce schedule to payment will be the OMBP for T&amp;L</t>
    </r>
  </si>
  <si>
    <t>PTO m-w
Holiday th
Winter Break f</t>
  </si>
  <si>
    <t>Winter Break m-w
Holiday th
PTO f</t>
  </si>
  <si>
    <t xml:space="preserve">26A BOM m-t
</t>
  </si>
  <si>
    <t>26A NF BOM Impact Analysis
26A NFs</t>
  </si>
  <si>
    <r>
      <rPr>
        <b/>
        <sz val="10"/>
        <color rgb="FFFF0000"/>
        <rFont val="Calibri"/>
      </rPr>
      <t xml:space="preserve">OOO </t>
    </r>
    <r>
      <rPr>
        <sz val="10"/>
        <color rgb="FF000000"/>
        <rFont val="Calibri"/>
      </rPr>
      <t xml:space="preserve"> </t>
    </r>
  </si>
  <si>
    <t>26A NFs
Fixes and Technical Issues</t>
  </si>
  <si>
    <t> 2026 Exam Uplift : 1048-25 - Time and Labor</t>
  </si>
  <si>
    <r>
      <rPr>
        <b/>
        <sz val="10"/>
        <color rgb="FF000000"/>
        <rFont val="Calibri"/>
      </rPr>
      <t xml:space="preserve">BHE: </t>
    </r>
    <r>
      <rPr>
        <sz val="10"/>
        <color rgb="FF000000"/>
        <rFont val="Calibri"/>
      </rPr>
      <t>Fusion security + PowerPoint template optimization support (Susan Swenson 1 day per month from January – December 2026)</t>
    </r>
  </si>
  <si>
    <r>
      <rPr>
        <sz val="10"/>
        <color rgb="FF000000"/>
        <rFont val="Calibri"/>
      </rPr>
      <t xml:space="preserve"> 2026 Exam Uplift : 1048-25 - Time and Labor
</t>
    </r>
    <r>
      <rPr>
        <b/>
        <sz val="10"/>
        <color rgb="FFFF0000"/>
        <rFont val="Calibri"/>
      </rPr>
      <t>MUST HAVE PEER REVIEW BACK BY COB Feb 16th</t>
    </r>
  </si>
  <si>
    <t xml:space="preserve">Presidents' Day m 16th
</t>
  </si>
  <si>
    <r>
      <rPr>
        <b/>
        <sz val="10"/>
        <color rgb="FF000000"/>
        <rFont val="Calibri"/>
      </rPr>
      <t xml:space="preserve">Live Session:
</t>
    </r>
    <r>
      <rPr>
        <sz val="10"/>
        <color rgb="FF000000"/>
        <rFont val="Calibri"/>
      </rPr>
      <t>Time and Labor Attestations
 2026 Exam Uplift : 1048-25 - Time and Labor
FIXES DAY</t>
    </r>
  </si>
  <si>
    <r>
      <rPr>
        <sz val="10"/>
        <color rgb="FF000000"/>
        <rFont val="Calibri"/>
      </rPr>
      <t xml:space="preserve"> 2026 Exam Uplift : 1048-25 - Time and Labor
</t>
    </r>
    <r>
      <rPr>
        <b/>
        <sz val="10"/>
        <color rgb="FF000000"/>
        <rFont val="Calibri"/>
      </rPr>
      <t>FIXES DAY
Last Day Working on Exam</t>
    </r>
  </si>
  <si>
    <t>INFODEV:
Recording
Oracle Fusion Cloud HCM: Time and Labor with Payroll 25C 2.0 Course
(14 - 1.72)
31 Lessons (8 completed)
(4 remaining)
25 Labs (19 completed)
(6 remaining)</t>
  </si>
  <si>
    <r>
      <rPr>
        <b/>
        <sz val="10"/>
        <color rgb="FFFF0000"/>
        <rFont val="Calibri"/>
      </rPr>
      <t xml:space="preserve">BHE Mandatory Training 2026
(1/2 day)
OOO (1/2 day)
</t>
    </r>
    <r>
      <rPr>
        <sz val="10"/>
        <color rgb="FF000000"/>
        <rFont val="Calibri"/>
      </rPr>
      <t xml:space="preserve">
</t>
    </r>
  </si>
  <si>
    <r>
      <rPr>
        <sz val="10"/>
        <color rgb="FF000000"/>
        <rFont val="Calibri"/>
      </rPr>
      <t xml:space="preserve">Design
Oracle Fusion Cloud HCM: Time and Labor with Payroll 26A
USE AI
2 days cfor Design Doc
Content from prompts to gen slides and narration - have optimal timeline
</t>
    </r>
    <r>
      <rPr>
        <b/>
        <sz val="10"/>
        <color rgb="FFFF0000"/>
        <rFont val="Calibri"/>
      </rPr>
      <t xml:space="preserve">NEED DESIGN DOC PROMPTS
</t>
    </r>
    <r>
      <rPr>
        <sz val="10"/>
        <color rgb="FF000000"/>
        <rFont val="Calibri"/>
      </rPr>
      <t xml:space="preserve">
</t>
    </r>
    <r>
      <rPr>
        <b/>
        <sz val="10"/>
        <color rgb="FF7030A0"/>
        <rFont val="Calibri"/>
      </rPr>
      <t>INFODEV:
Recording
Oracle Fusion Cloud HCM: Time and Labor with Payroll 25C 2.0 Course
(14 - 1.72)
31 Lessons (8 completed)
(4 remaining)
25 Labs (19 completed)
(6 remaining)
WILL BE COMPLETED EOD Sunday Pacific Time Friday
COMPLETED</t>
    </r>
  </si>
  <si>
    <r>
      <rPr>
        <sz val="10"/>
        <color rgb="FF000000"/>
        <rFont val="Calibri"/>
      </rPr>
      <t xml:space="preserve">Design
Oracle Fusion Cloud HCM: Time and Labor with Payroll 26A
USE AI
2 days cfor Design Doc
Content from prompts to gen slides and narration - have optimal timeline
</t>
    </r>
    <r>
      <rPr>
        <b/>
        <sz val="10"/>
        <color rgb="FFFF0000"/>
        <rFont val="Calibri"/>
      </rPr>
      <t>OOO PM</t>
    </r>
  </si>
  <si>
    <t xml:space="preserve">OOO
</t>
  </si>
  <si>
    <t xml:space="preserve">Design
Oracle Fusion Cloud HCM: Time and Labor with Payroll 26A
Ready for Review by EOD Pacific  Time
</t>
  </si>
  <si>
    <r>
      <rPr>
        <b/>
        <sz val="10"/>
        <color rgb="FF000000"/>
        <rFont val="Calibri"/>
      </rPr>
      <t xml:space="preserve">Live Session
</t>
    </r>
    <r>
      <rPr>
        <sz val="10"/>
        <color rgb="FF000000"/>
        <rFont val="Calibri"/>
      </rPr>
      <t>Prepare for Oracle HCM Cloud: Time And Labor Certification Exam
26B BOM Assessment</t>
    </r>
  </si>
  <si>
    <r>
      <rPr>
        <b/>
        <sz val="10"/>
        <color rgb="FFFF0000"/>
        <rFont val="Calibri"/>
      </rPr>
      <t xml:space="preserve">JURY DUTY
</t>
    </r>
    <r>
      <rPr>
        <sz val="10"/>
        <color rgb="FF000000"/>
        <rFont val="Calibri"/>
      </rPr>
      <t xml:space="preserve">
26B BOM Assessment
Completed
2026 Exam Uplift : 1048-25 - Time and Labor
</t>
    </r>
  </si>
  <si>
    <r>
      <rPr>
        <b/>
        <sz val="10"/>
        <color rgb="FFFF0000"/>
        <rFont val="Calibri"/>
      </rPr>
      <t xml:space="preserve">JURY DUTY
</t>
    </r>
    <r>
      <rPr>
        <b/>
        <sz val="10"/>
        <color rgb="FF000000"/>
        <rFont val="Calibri"/>
      </rPr>
      <t xml:space="preserve">
2026 Exam Uplift : 1048-25 - Time and Labor
Completed
1) Recording
</t>
    </r>
    <r>
      <rPr>
        <sz val="10"/>
        <color rgb="FF000000"/>
        <rFont val="Calibri"/>
      </rPr>
      <t xml:space="preserve">Oracle Fusion Cloud HCM: Time and Labor with Payroll 25C 2.0
Complete Demos and Submit Booking Request
</t>
    </r>
  </si>
  <si>
    <r>
      <rPr>
        <b/>
        <sz val="10"/>
        <color rgb="FF000000"/>
        <rFont val="Calibri"/>
      </rPr>
      <t xml:space="preserve">1) Recording
</t>
    </r>
    <r>
      <rPr>
        <sz val="10"/>
        <color rgb="FF000000"/>
        <rFont val="Calibri"/>
      </rPr>
      <t>Oracle Fusion Cloud HCM: Time and Labor with Payroll 25C 2.0
Complete Demos and Submit Booking Request
2) Complete Design Doc
Oracle Fusion Cloud HCM: Time and Labor with Payroll 26A
Ready for Review by EOD Pacific  Time
3) Oracle AI Data Platform Essentials Training (half day)
Loose Ends</t>
    </r>
  </si>
  <si>
    <t>OOO
TBD - BHE: Fusion security + PowerPoint template optimization support (Susan Swenson 1 day per month from January – December 2026)
REMIND JILL SUSAN IS OUT once confirmed)</t>
  </si>
  <si>
    <t xml:space="preserve">Exam 26B Uplift : 1048-25 - Time and Labor
Day 1
</t>
  </si>
  <si>
    <t xml:space="preserve">Exam 26B Uplift : 1048-25 - Time and Labor
Day 2
</t>
  </si>
  <si>
    <t xml:space="preserve">Exam 26B Uplift : 1048-25 - Time and Labor
Day 3
</t>
  </si>
  <si>
    <t xml:space="preserve">Exam 26B Uplift : 1048-25 - Time and Labor
Day 4
</t>
  </si>
  <si>
    <r>
      <rPr>
        <b/>
        <strike/>
        <sz val="10"/>
        <color rgb="FFFF0000"/>
        <rFont val="Calibri"/>
      </rPr>
      <t xml:space="preserve">BHE: </t>
    </r>
    <r>
      <rPr>
        <strike/>
        <sz val="10"/>
        <color rgb="FFFF0000"/>
        <rFont val="Calibri"/>
      </rPr>
      <t>Fusion security + PowerPoint template optimization support (Susan Swenson 1 day per month from January – December 2026)</t>
    </r>
  </si>
  <si>
    <t xml:space="preserve">VT Oracle Fusion Cloud HCM Time and Labor with Payroll </t>
  </si>
  <si>
    <r>
      <rPr>
        <b/>
        <strike/>
        <sz val="10"/>
        <color rgb="FFFF0000"/>
        <rFont val="Calibri"/>
      </rPr>
      <t xml:space="preserve">Update:
</t>
    </r>
    <r>
      <rPr>
        <strike/>
        <sz val="10"/>
        <color rgb="FFFF0000"/>
        <rFont val="Calibri"/>
      </rPr>
      <t>Oracle Fusion Cloud HCM: Time and Labor with Payroll 26B
Use AI to generate content and narration scripts
and possible T2S Narration</t>
    </r>
  </si>
  <si>
    <t xml:space="preserve">Exam 26B Uplift : 1048-25 - Time and Labor
Day 5- Peer Review Fixes
</t>
  </si>
  <si>
    <t>Prep Fast Formula for knowledge
(They are utilised extensively in T&amp;L and basis for all Rules)</t>
  </si>
  <si>
    <t>Awaiting Production</t>
  </si>
  <si>
    <r>
      <rPr>
        <b/>
        <strike/>
        <sz val="10"/>
        <color rgb="FFFF0000"/>
        <rFont val="Calibri"/>
      </rPr>
      <t xml:space="preserve">Record:
</t>
    </r>
    <r>
      <rPr>
        <strike/>
        <sz val="10"/>
        <color rgb="FFFF0000"/>
        <rFont val="Calibri"/>
      </rPr>
      <t>Oracle Fusion Cloud HCM: Time and Labor with Payroll 26B
Use AI to generate Narration Scripts</t>
    </r>
  </si>
  <si>
    <t>Leave End TBD</t>
  </si>
  <si>
    <t>Mon. 11/3
Mon. 11/10
Mon.-Wed. 12/22-12/24
Fri. 12/26
Mon.-Wed. 12/29-12/31
Fri. 01/02/26</t>
  </si>
  <si>
    <t>time and labor in 26A  will be a combined course - too much to do in 25C</t>
  </si>
  <si>
    <r>
      <t>25D New Features</t>
    </r>
    <r>
      <rPr>
        <b/>
        <sz val="10"/>
        <color rgb="FF000000"/>
        <rFont val="Aptos Narrow"/>
        <family val="2"/>
      </rPr>
      <t xml:space="preserve">
25D NF Unboxing - 7 Oct</t>
    </r>
  </si>
  <si>
    <t>HCM PRP
Steve NF Chat Working Session</t>
  </si>
  <si>
    <t>Walkthrough: 25D Unboxing &amp; NF Template</t>
  </si>
  <si>
    <t>25D New Features (0.5 day)</t>
  </si>
  <si>
    <t>HCP PRP
25D New Features</t>
  </si>
  <si>
    <t>25D New Features</t>
  </si>
  <si>
    <t>20,21 Holiday
22- OOO</t>
  </si>
  <si>
    <r>
      <t>HCP PRP
Navigator Oct Release</t>
    </r>
    <r>
      <rPr>
        <b/>
        <strike/>
        <sz val="10"/>
        <color rgb="FFFF0000"/>
        <rFont val="Aptos Narrow"/>
        <family val="2"/>
      </rPr>
      <t xml:space="preserve">
Complete NF Assessment as needed ??</t>
    </r>
    <r>
      <rPr>
        <strike/>
        <sz val="10"/>
        <color rgb="FF000000"/>
        <rFont val="Aptos Narrow"/>
        <family val="2"/>
      </rPr>
      <t xml:space="preserve">
Prep
Journeys</t>
    </r>
  </si>
  <si>
    <t>Navigator Oct Release</t>
  </si>
  <si>
    <r>
      <t>Navigator Oct Release</t>
    </r>
    <r>
      <rPr>
        <strike/>
        <sz val="10"/>
        <color rgb="FF000000"/>
        <rFont val="Aptos Narrow"/>
        <family val="2"/>
      </rPr>
      <t xml:space="preserve">
Prep
Journeys</t>
    </r>
  </si>
  <si>
    <r>
      <rPr>
        <b/>
        <strike/>
        <sz val="10"/>
        <color rgb="FF000000"/>
        <rFont val="Aptos Narrow"/>
      </rPr>
      <t xml:space="preserve">Prep
Journeys
</t>
    </r>
    <r>
      <rPr>
        <b/>
        <sz val="10"/>
        <color rgb="FF000000"/>
        <rFont val="Aptos Narrow"/>
      </rPr>
      <t xml:space="preserve">Review AI Agent studio updates
</t>
    </r>
  </si>
  <si>
    <t>Review AI Agent studio updates</t>
  </si>
  <si>
    <t>OOO- 12 Nov</t>
  </si>
  <si>
    <t>OOO- 13 Nov</t>
  </si>
  <si>
    <t>Navigator November Release</t>
  </si>
  <si>
    <t xml:space="preserve">HPE Exam for GHR
CPS Scoping
</t>
  </si>
  <si>
    <t>HPE Exam for GHR
CPS Scoping
Memorial Hermann Hospital Scoping</t>
  </si>
  <si>
    <t>HPE Exam for GHR
CPS Scoping
Memorial Hermann Hospital Scoping
Recruiting Exam Peer Review</t>
  </si>
  <si>
    <t>26A NFs BOM</t>
  </si>
  <si>
    <t>Impact Analysis Instruction Call
Q3 FY26 All Hands with Gary Miller Call
HPE Exam for GHR</t>
  </si>
  <si>
    <t>26A NF Template Walkthrough
26A NF BOM Impact Analysis</t>
  </si>
  <si>
    <t>26A NF BOM Impact Analysis</t>
  </si>
  <si>
    <r>
      <rPr>
        <sz val="10"/>
        <color rgb="FF000000"/>
        <rFont val="Calibri"/>
      </rPr>
      <t xml:space="preserve">26A NFs. 
</t>
    </r>
    <r>
      <rPr>
        <strike/>
        <sz val="10"/>
        <color rgb="FF000000"/>
        <rFont val="Calibri"/>
      </rPr>
      <t>Half Day My Learn AI Testing</t>
    </r>
  </si>
  <si>
    <t>26A NFs. 
Half Day My Learn AI Testing</t>
  </si>
  <si>
    <t>IDC Holiday</t>
  </si>
  <si>
    <t>26A NFs
NF thru Jan 23
Navigator NF Jan 28 to Feb 02
Three days for Exams
26A Item Writing : 1046-25 - GHR</t>
  </si>
  <si>
    <t>Republic Day	01/26/2026</t>
  </si>
  <si>
    <t>Navigator NF (Analysis done. Could not start as NFs not deployed
AIDP Training done</t>
  </si>
  <si>
    <t>Assist with Recruiting NF</t>
  </si>
  <si>
    <t>HPE Recruiting Exam Wrap Up</t>
  </si>
  <si>
    <t> (Awaiting Feedback of Design Doc)</t>
  </si>
  <si>
    <t>Peer Review Recruiting HPE Exam</t>
  </si>
  <si>
    <t>Fixes:
HCM AI Agent Developer Course gap &amp; design doc review fixes</t>
  </si>
  <si>
    <t>Content: 
HCM AI  Agent Developer Course</t>
  </si>
  <si>
    <t xml:space="preserve">Navigator 26A </t>
  </si>
  <si>
    <r>
      <rPr>
        <sz val="10"/>
        <color rgb="FF000000"/>
        <rFont val="Aptos Narrow"/>
      </rPr>
      <t xml:space="preserve">Navigator 26A 
</t>
    </r>
    <r>
      <rPr>
        <b/>
        <sz val="10"/>
        <color rgb="FF000000"/>
        <rFont val="Aptos Narrow"/>
      </rPr>
      <t>RE&amp;F AI Session (Prep &amp; Session) (Half-Day)</t>
    </r>
  </si>
  <si>
    <t>AI Session with Vidya</t>
  </si>
  <si>
    <r>
      <rPr>
        <b/>
        <sz val="10"/>
        <color rgb="FF000000"/>
        <rFont val="Calibri"/>
      </rPr>
      <t xml:space="preserve">RECORD:
</t>
    </r>
    <r>
      <rPr>
        <sz val="10"/>
        <color rgb="FF000000"/>
        <rFont val="Calibri"/>
      </rPr>
      <t xml:space="preserve">Oracle Fusion Cloud HCM: Using Global Human Resources
Handoff Dec 11th - InfoDev updated again Handoff March
</t>
    </r>
  </si>
  <si>
    <r>
      <rPr>
        <b/>
        <sz val="10"/>
        <color rgb="FF000000"/>
        <rFont val="Aptos Narrow"/>
      </rPr>
      <t xml:space="preserve">Fix / Record: 
</t>
    </r>
    <r>
      <rPr>
        <sz val="10"/>
        <color rgb="FF000000"/>
        <rFont val="Aptos Narrow"/>
      </rPr>
      <t xml:space="preserve">HCM AI  Agent Developer Course
(Additional Labs if required post VT)
</t>
    </r>
    <r>
      <rPr>
        <b/>
        <sz val="10"/>
        <color rgb="FF000000"/>
        <rFont val="Aptos Narrow"/>
      </rPr>
      <t xml:space="preserve">ENHANCE COURSE for AI AGENT?
</t>
    </r>
    <r>
      <rPr>
        <sz val="10"/>
        <color rgb="FF000000"/>
        <rFont val="Aptos Narrow"/>
      </rPr>
      <t>Oracle Fusion Cloud HCM: Using Global Human Resources
Handoff Dec 11th - InfoDev updated again Handoff March</t>
    </r>
  </si>
  <si>
    <r>
      <rPr>
        <b/>
        <sz val="10"/>
        <color rgb="FF000000"/>
        <rFont val="Aptos Narrow"/>
      </rPr>
      <t xml:space="preserve">Fix / Record: 
</t>
    </r>
    <r>
      <rPr>
        <sz val="10"/>
        <color rgb="FF000000"/>
        <rFont val="Aptos Narrow"/>
      </rPr>
      <t xml:space="preserve">HCM AI  Agent Developer Course
(Additional Labs if required post VT)
</t>
    </r>
    <r>
      <rPr>
        <b/>
        <sz val="10"/>
        <color rgb="FF000000"/>
        <rFont val="Aptos Narrow"/>
      </rPr>
      <t xml:space="preserve">ENHANCE COURSE for AI AGENT - GHR design doc to interject AI Content)
</t>
    </r>
    <r>
      <rPr>
        <sz val="10"/>
        <color rgb="FF000000"/>
        <rFont val="Aptos Narrow"/>
      </rPr>
      <t>Oracle Fusion Cloud HCM: Using Global Human Resources
Handoff Dec 11th - InfoDev updated again Handoff March</t>
    </r>
  </si>
  <si>
    <t>MyLearn AI Testing in PROD</t>
  </si>
  <si>
    <r>
      <rPr>
        <b/>
        <sz val="10"/>
        <color rgb="FF000000"/>
        <rFont val="Calibri"/>
      </rPr>
      <t xml:space="preserve">UPDATE to AI: Design Doc
</t>
    </r>
    <r>
      <rPr>
        <sz val="10"/>
        <color rgb="FF000000"/>
        <rFont val="Calibri"/>
      </rPr>
      <t xml:space="preserve">Oracle Fusion Cloud HCM: Using Global Human Resources
Handoff Dec 11th
</t>
    </r>
    <r>
      <rPr>
        <b/>
        <sz val="10"/>
        <color rgb="FF000000"/>
        <rFont val="Calibri"/>
      </rPr>
      <t xml:space="preserve">UPDATE to AI: Design Doc
</t>
    </r>
    <r>
      <rPr>
        <sz val="10"/>
        <color rgb="FF000000"/>
        <rFont val="Calibri"/>
      </rPr>
      <t xml:space="preserve">Oracle Fusion Cloud HCM: Configure Enterprise &amp; Workforce Structures
Handoff Dec 18th
</t>
    </r>
    <r>
      <rPr>
        <b/>
        <sz val="10"/>
        <color rgb="FFFF0000"/>
        <rFont val="Calibri"/>
      </rPr>
      <t xml:space="preserve">InfoDev updated again Handoff March
</t>
    </r>
  </si>
  <si>
    <r>
      <rPr>
        <sz val="10"/>
        <color rgb="FF000000"/>
        <rFont val="Calibri"/>
      </rPr>
      <t xml:space="preserve">26A Item Writing : 1046-25 - GHR
(With Deb &amp; Sarah)
</t>
    </r>
    <r>
      <rPr>
        <b/>
        <sz val="10"/>
        <color rgb="FFFF0000"/>
        <rFont val="Calibri"/>
      </rPr>
      <t xml:space="preserve"> DO NOT MOVE for ANY REASON </t>
    </r>
  </si>
  <si>
    <r>
      <rPr>
        <sz val="10"/>
        <color rgb="FF000000"/>
        <rFont val="Calibri"/>
      </rPr>
      <t xml:space="preserve"> 2026 Exam Uplift : 1069-25 - Recruiting
</t>
    </r>
    <r>
      <rPr>
        <b/>
        <sz val="10"/>
        <color rgb="FFFF0000"/>
        <rFont val="Calibri"/>
      </rPr>
      <t xml:space="preserve">PEER REVIEW -  DO NOT MOVE for ANY REASON </t>
    </r>
  </si>
  <si>
    <t> Ugadi	03/19/2026</t>
  </si>
  <si>
    <t>Prep for partner session on 26th March for AI Agents</t>
  </si>
  <si>
    <t xml:space="preserve">Prep For Live Session:
Become a Certified Global Human Resources (Core HR) Implementer
</t>
  </si>
  <si>
    <t>Live Session:
Become a Certified Global Human Resources (Core HR) Implementer
Prep for partner session on 26th March for AI Agents</t>
  </si>
  <si>
    <r>
      <rPr>
        <b/>
        <sz val="10"/>
        <color rgb="FF000000"/>
        <rFont val="Calibri"/>
      </rPr>
      <t xml:space="preserve">FIXES from PEER REVIEW - CANNOT BE MOVED
</t>
    </r>
    <r>
      <rPr>
        <sz val="10"/>
        <color rgb="FF000000"/>
        <rFont val="Calibri"/>
      </rPr>
      <t xml:space="preserve">26A Item Writing : 1046-25 - GHR
</t>
    </r>
    <r>
      <rPr>
        <b/>
        <sz val="10"/>
        <color rgb="FFFF0000"/>
        <rFont val="Calibri"/>
      </rPr>
      <t xml:space="preserve">DO NOT MOVE FOR ANY REASON
</t>
    </r>
  </si>
  <si>
    <t>Partner session on 26th March for AI Agents (Prep + Session)</t>
  </si>
  <si>
    <t xml:space="preserve">Navigator for Regression Testing &amp; Update
</t>
  </si>
  <si>
    <t>Navigator for Regression Testing &amp; Update for Nigel - 6 Use Cases
++
VT Completion and AG updates – Oracle Fusion Cloud HCM: Configure Enterprise and Workforce Structures (26AD01)</t>
  </si>
  <si>
    <t>MH Escalation VT Testing</t>
  </si>
  <si>
    <t>VT on D02: Re: Oracle Fusion Cloud HCM Time and Labor with Payroll</t>
  </si>
  <si>
    <t>26B BOM Finalisation &amp; Environment Assessment
GHR HPE Exam- 2 questions review (3 hrs)</t>
  </si>
  <si>
    <t>My Learn AI Testing</t>
  </si>
  <si>
    <t>Exam 26B Uplift : 1046-25 - GHR
Day 1</t>
  </si>
  <si>
    <t>Exam 26B Uplift : 1046-25 - GHR
Day 2</t>
  </si>
  <si>
    <t>Exam 26B Uplift : 1046-25 - GHR
Day 3</t>
  </si>
  <si>
    <t xml:space="preserve">Exam 26B Uplift : 1046-25 - GHR
Day 4
</t>
  </si>
  <si>
    <t>India Holiday</t>
  </si>
  <si>
    <t xml:space="preserve">Exam 26B Uplift : 1069-25 - Recruiting
Day 4 -PEER REVIEW
</t>
  </si>
  <si>
    <r>
      <rPr>
        <b/>
        <strike/>
        <sz val="10"/>
        <color rgb="FF000000"/>
        <rFont val="Aptos Narrow"/>
        <scheme val="minor"/>
      </rPr>
      <t xml:space="preserve">
</t>
    </r>
    <r>
      <rPr>
        <sz val="10"/>
        <color rgb="FF000000"/>
        <rFont val="Aptos Narrow"/>
        <scheme val="minor"/>
      </rPr>
      <t xml:space="preserve">
Exam 26B Uplift : 1046-25 - GHR- Day5 Extra Day</t>
    </r>
  </si>
  <si>
    <r>
      <rPr>
        <strike/>
        <sz val="10"/>
        <color rgb="FF000000"/>
        <rFont val="Aptos Narrow"/>
        <scheme val="minor"/>
      </rPr>
      <t xml:space="preserve">
</t>
    </r>
    <r>
      <rPr>
        <sz val="10"/>
        <color rgb="FF000000"/>
        <rFont val="Aptos Narrow"/>
        <scheme val="minor"/>
      </rPr>
      <t xml:space="preserve">
Design Doc: Using GHR (AI + 26B)</t>
    </r>
  </si>
  <si>
    <r>
      <rPr>
        <strike/>
        <sz val="10"/>
        <color rgb="FF000000"/>
        <rFont val="Aptos Narrow"/>
        <scheme val="minor"/>
      </rPr>
      <t xml:space="preserve">
</t>
    </r>
    <r>
      <rPr>
        <sz val="10"/>
        <color rgb="FF000000"/>
        <rFont val="Aptos Narrow"/>
        <scheme val="minor"/>
      </rPr>
      <t xml:space="preserve">
Design Doc Fixes: Using GHR (AI + 26B)</t>
    </r>
  </si>
  <si>
    <t>Content Dev: Using GHR</t>
  </si>
  <si>
    <t>Live Session Prep</t>
  </si>
  <si>
    <r>
      <rPr>
        <b/>
        <sz val="10"/>
        <color rgb="FF000000"/>
        <rFont val="Calibri"/>
      </rPr>
      <t xml:space="preserve">
</t>
    </r>
    <r>
      <rPr>
        <sz val="10"/>
        <color rgb="FF000000"/>
        <rFont val="Calibri"/>
      </rPr>
      <t xml:space="preserve">
Live Session.
</t>
    </r>
    <r>
      <rPr>
        <sz val="10"/>
        <color rgb="FF7030A0"/>
        <rFont val="Calibri"/>
      </rPr>
      <t>Navigator NF Content - Setup Required Features</t>
    </r>
  </si>
  <si>
    <t>Content Dev: Using GHR
Round 3 : MyLearn AI Testing in PROD - Exam Prep (Half Day)</t>
  </si>
  <si>
    <t> Bakrid	05/28/2026</t>
  </si>
  <si>
    <t>Content Dev: Using GHR (Half Day)
Round 3: MyLearn AI Testing in PROD (Half Day)</t>
  </si>
  <si>
    <t xml:space="preserve">Skill Check Update. Using GHR. CLS Feedback. </t>
  </si>
  <si>
    <t>Partner Session Prep- Accenture</t>
  </si>
  <si>
    <t>Partner Session: Accenture</t>
  </si>
  <si>
    <t>Recording: Using GHR</t>
  </si>
  <si>
    <t>Navigator June Release</t>
  </si>
  <si>
    <t xml:space="preserve">Consloidation and Raising Booking Request etc. </t>
  </si>
  <si>
    <t>Portfolio Review Prep</t>
  </si>
  <si>
    <t>26C NF's</t>
  </si>
  <si>
    <t>26C NF's
Live Session</t>
  </si>
  <si>
    <t>VT- Testing Agent Studio Labs (26C)</t>
  </si>
  <si>
    <t>VT- Testing Agent Studio Labs (26C)
AI Agent Studio What's new video recording</t>
  </si>
  <si>
    <t>AI Agent Studio What's new video recording</t>
  </si>
  <si>
    <t xml:space="preserve">
AI Agent Studio What's new video recording</t>
  </si>
  <si>
    <r>
      <rPr>
        <strike/>
        <sz val="10"/>
        <color rgb="FF000000"/>
        <rFont val="Calibri"/>
      </rPr>
      <t xml:space="preserve">
</t>
    </r>
    <r>
      <rPr>
        <sz val="10"/>
        <color rgb="FF000000"/>
        <rFont val="Calibri"/>
      </rPr>
      <t>26C NFs</t>
    </r>
  </si>
  <si>
    <r>
      <rPr>
        <strike/>
        <sz val="10"/>
        <color rgb="FF000000"/>
        <rFont val="Calibri"/>
      </rPr>
      <t xml:space="preserve">
</t>
    </r>
    <r>
      <rPr>
        <sz val="10"/>
        <color rgb="FF000000"/>
        <rFont val="Calibri"/>
      </rPr>
      <t xml:space="preserve">
July Navigatot (3 use cases)</t>
    </r>
  </si>
  <si>
    <t>Oracle AI in Fusion Cloud Human Capital Management (HCM): Create DD, finalize scope, demo feasibility and environment dependencies</t>
  </si>
  <si>
    <t>Oracle AI in Fusion Cloud Human Capital Management (HCM): Content Dev</t>
  </si>
  <si>
    <t>OPN Partner Session Prep</t>
  </si>
  <si>
    <t>OPN Partner Session: 
Retrofit: AI Agents/Studio in Using GHR: Record</t>
  </si>
  <si>
    <t>Navigator Aug Release (3 use Cases)</t>
  </si>
  <si>
    <t>AIAS-Dev Course Uplift (9 Demos)- Content Dev + Recording + AG Updates</t>
  </si>
  <si>
    <t>Ind Holiday- Ganesh Festival</t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</si>
  <si>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>SME Review
On Cam Recording</t>
    </r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</si>
  <si>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>SME Review</t>
    </r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</si>
  <si>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>Recording
AI in HCM: Assessment (Review)</t>
    </r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</si>
  <si>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 xml:space="preserve">Recording
HCM Master cert dry run </t>
    </r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</si>
  <si>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 xml:space="preserve">Recording
</t>
    </r>
  </si>
  <si>
    <r>
      <rPr>
        <sz val="10"/>
        <color rgb="FF000000"/>
        <rFont val="Aptos Narrow"/>
        <scheme val="minor"/>
      </rPr>
      <t xml:space="preserve">Oracle AI in Fusion Cloud Human Capital Management (HCM): </t>
    </r>
    <r>
      <rPr>
        <b/>
        <sz val="10"/>
        <color rgb="FF000000"/>
        <rFont val="Aptos Narrow"/>
        <scheme val="minor"/>
      </rPr>
      <t>Recording</t>
    </r>
  </si>
  <si>
    <t>Live Session - Sep 29 - PREP</t>
  </si>
  <si>
    <t xml:space="preserve">Live Session - Sep 29
</t>
  </si>
  <si>
    <t>26D BOM Analysis &amp; Updates
Fusion Claw R&amp;D</t>
  </si>
  <si>
    <t>IND Holiday- GJ</t>
  </si>
  <si>
    <t>IND Holiday- Dasara</t>
  </si>
  <si>
    <t>Oracle Fusion Cloud HCM: Workflows and Approvals: DD</t>
  </si>
  <si>
    <t>Oracle Fusion Cloud HCM: Workflows and Approvals: CD</t>
  </si>
  <si>
    <t>IND Holiday- Deepavali</t>
  </si>
  <si>
    <t>Oracle Fusion Cloud HCM: Workflows and Approvals: Record</t>
  </si>
  <si>
    <t>Live Session - Nov 25</t>
  </si>
  <si>
    <t>AI for SCM Course Uplift</t>
  </si>
  <si>
    <t>CSS AI Training - Gary Miller Email</t>
  </si>
  <si>
    <t>25D NFs</t>
  </si>
  <si>
    <t>Manufacturing Base &amp; Delta Exam Uptake
Live Session Prep (3 hours)</t>
  </si>
  <si>
    <r>
      <rPr>
        <b/>
        <sz val="10"/>
        <color rgb="FF000000"/>
        <rFont val="Aptos Narrow"/>
        <scheme val="minor"/>
      </rPr>
      <t xml:space="preserve">Live Session Delivery
</t>
    </r>
    <r>
      <rPr>
        <sz val="10"/>
        <color rgb="FF000000"/>
        <rFont val="Aptos Narrow"/>
        <scheme val="minor"/>
      </rPr>
      <t>Manufacturing Base &amp; Delta Exam Uptake</t>
    </r>
  </si>
  <si>
    <t>Manufacturing Base &amp; Delta Exam Uptake</t>
  </si>
  <si>
    <t>Oracle Holiday</t>
  </si>
  <si>
    <t>Oracle SCM Cloud: Manufacturing Foundation Uplift</t>
  </si>
  <si>
    <t>Oracle SCM Cloud: Manufacturing Foundation Uplift
AG Guide Testing - Rewrite due to testing</t>
  </si>
  <si>
    <t>Reviewing INV, PLM New Features
AIW Keymote Recordings</t>
  </si>
  <si>
    <t>Order Management Implementation Course Practices Recordings</t>
  </si>
  <si>
    <t>26A NF BOM Update</t>
  </si>
  <si>
    <t>Winter Break</t>
  </si>
  <si>
    <t>Memorial Herman Customer Event Prep</t>
  </si>
  <si>
    <t>Memorial Herman Customer Delivery Travel</t>
  </si>
  <si>
    <t>Memorial Herman Customer Event Delivery</t>
  </si>
  <si>
    <t>OOO Sick</t>
  </si>
  <si>
    <r>
      <rPr>
        <b/>
        <strike/>
        <sz val="10"/>
        <color rgb="FF000000"/>
        <rFont val="Aptos Narrow"/>
        <scheme val="minor"/>
      </rPr>
      <t xml:space="preserve">Live Session
</t>
    </r>
    <r>
      <rPr>
        <sz val="10"/>
        <color rgb="FF000000"/>
        <rFont val="Aptos Narrow"/>
        <scheme val="minor"/>
      </rPr>
      <t>26A NFs</t>
    </r>
  </si>
  <si>
    <t>Gap Analysis: AI for SCM Course (SME Analysis)
26A NFs</t>
  </si>
  <si>
    <t>Gap Analysis: AI for SCM Course (SME Analysis)</t>
  </si>
  <si>
    <t>VT Testing Quality Course</t>
  </si>
  <si>
    <t>Gap Analysis: AI for SCM Course (SME Analysis) - Review last 4 cycles for missed features</t>
  </si>
  <si>
    <t>Manufacturing 2026 Base Exam Full Uplift - Day 1</t>
  </si>
  <si>
    <t>Manufacturing 2026 Base Exam Full Uplift - Day 2</t>
  </si>
  <si>
    <t>Manufacturing 2026 Base Exam Full Uplift - Day 3</t>
  </si>
  <si>
    <t>Manufacturing 2026 Base Exam Full Uplift - Day 4</t>
  </si>
  <si>
    <t>Manufacturing 2026 Base Exam Full Uplift - Day 6 - References Update/IW Finalize</t>
  </si>
  <si>
    <t>25C to 26A Manufacturing Foundation Impact Analysis</t>
  </si>
  <si>
    <t>Manufacturing 2026 Base Exam Full Uplift - Day 7 - Peer Review Fixes</t>
  </si>
  <si>
    <t>25C to 26A Manufacturing Foundation Content Creation</t>
  </si>
  <si>
    <t>Oracle US Holiday</t>
  </si>
  <si>
    <t>WMS 2026 Base Exam Full Uplift - Day 5 - Peer Review</t>
  </si>
  <si>
    <t>26B BOM</t>
  </si>
  <si>
    <t xml:space="preserve">Navigator 26A NF - SR </t>
  </si>
  <si>
    <t>Cost 2026 Base Exam Full Uplift - Day 5 - Peer Review</t>
  </si>
  <si>
    <t>25C to 26A Manufacturing Foundation Recording</t>
  </si>
  <si>
    <t>Live Session - March 5- What’s new in Manufacturing? (moved from Jan 27)</t>
  </si>
  <si>
    <t>Maintenance 2026 Base Exam Full Uplift - Day 5 - Peer Review</t>
  </si>
  <si>
    <t>Navigator March Release</t>
  </si>
  <si>
    <t>26B NF Environment Testing</t>
  </si>
  <si>
    <t>Navigator Video Re-Record 
26BNF Content Dev + Recording</t>
  </si>
  <si>
    <t>26BNF Content Dev + Recording</t>
  </si>
  <si>
    <t>Design &amp; Discovery Skills Testing</t>
  </si>
  <si>
    <t>Agentic Apps Course Design Doc (1 App)</t>
  </si>
  <si>
    <t>Unboxing Video - Quality</t>
  </si>
  <si>
    <t>23D to 26B Quality Inspection Course - Design Doc</t>
  </si>
  <si>
    <t>23D to 26B Quality Inspection Course - Design Doc Review Fixes</t>
  </si>
  <si>
    <t>2026 Delta Exam: Manufacturing Day 1</t>
  </si>
  <si>
    <t>2026 Delta Exam: Manufacturing Day 2</t>
  </si>
  <si>
    <t>2026 Delta Exam: Manufacturing Day 3</t>
  </si>
  <si>
    <t>2026 Delta Exam: Manufacturing Day 4</t>
  </si>
  <si>
    <t>2026 Delta Exam: Cost Peer Review</t>
  </si>
  <si>
    <t>Live Session - May 12</t>
  </si>
  <si>
    <t>2026 Delta Exam: Maintenance Peer Review</t>
  </si>
  <si>
    <t>2026 Delta Exam: Manufacturing Day 5 Peer Review and References</t>
  </si>
  <si>
    <t>Navigator NF Content - Delivered Enabled Features</t>
  </si>
  <si>
    <t>Oracle US Holiday - May 25</t>
  </si>
  <si>
    <t>Navigator May Update</t>
  </si>
  <si>
    <t>Navigator Recording 
23D to 26B Quality Inspection Course - Content Creation</t>
  </si>
  <si>
    <t>23D to 26B Quality Inspection Course - Content Creation</t>
  </si>
  <si>
    <t>Manufacturing Foundation Course Uplift with 26B NFs &amp; AI - Design Doc</t>
  </si>
  <si>
    <t>Manufacturing Foundation Course Uplift with 26B NFs &amp; AI - Design Doc Review</t>
  </si>
  <si>
    <t>23D to 26A Quality Inspection Course - Recording</t>
  </si>
  <si>
    <t>26B BOM Update</t>
  </si>
  <si>
    <t>Sick Day</t>
  </si>
  <si>
    <t>Oracle US Holiday - Jun 19</t>
  </si>
  <si>
    <t>Manufacturing Foundation Course Uplift with 26B NFs &amp; AI - Design Document</t>
  </si>
  <si>
    <t>Two AI Agents from D2 Pod</t>
  </si>
  <si>
    <t>2026 Delta Exam: WMS Peer Review</t>
  </si>
  <si>
    <t>Oracle US Holiday - Jul 3</t>
  </si>
  <si>
    <t>Live Session - Jul 8</t>
  </si>
  <si>
    <t>Analyze 26C NFs in Environment</t>
  </si>
  <si>
    <t>Curriculum Audit Report/Changes</t>
  </si>
  <si>
    <t>Content Dev/Recording 26C NFs</t>
  </si>
  <si>
    <t>Navigator 26C July Release Work - 2 Use Case</t>
  </si>
  <si>
    <t>Manufacturing Foundation Course Uplift with 26B NFs &amp; AI - Design Doc/Gap Analysis per Portfolio</t>
  </si>
  <si>
    <t>VT Testing Manufacturing Foundation</t>
  </si>
  <si>
    <t>Manufacturing Foundation Course Uplift with 26B NFs &amp; AI - Content Creation + T2S scripts</t>
  </si>
  <si>
    <t>AI for SCM Course Design Document</t>
  </si>
  <si>
    <t>AI for SCM Course Content Creation</t>
  </si>
  <si>
    <t>AI for SCM Course Content Creation Review Edits</t>
  </si>
  <si>
    <t>MyLearn UAT Testing</t>
  </si>
  <si>
    <t>Oracle US Holiday - Sep 7</t>
  </si>
  <si>
    <r>
      <rPr>
        <b/>
        <sz val="10"/>
        <color rgb="FF000000"/>
        <rFont val="Aptos Narrow"/>
        <scheme val="minor"/>
      </rPr>
      <t xml:space="preserve">CLS Live Session - Sept 8
</t>
    </r>
    <r>
      <rPr>
        <sz val="10"/>
        <color rgb="FF000000"/>
        <rFont val="Aptos Narrow"/>
        <scheme val="minor"/>
      </rPr>
      <t>Planning AI for SCM course demos</t>
    </r>
  </si>
  <si>
    <t>Navigator 26C Aug Release - 6 Use Cases - 2 Days</t>
  </si>
  <si>
    <t>Manufacturing Foundation Course Uplift with 26B NFs &amp; AI - DD/Quantum of Change</t>
  </si>
  <si>
    <t xml:space="preserve">Manufacturing Foundation Course Uplift with 26B NFs &amp; AI - Content Creation </t>
  </si>
  <si>
    <t>AI for SCM Course - Review and Finalize Skills Assessment</t>
  </si>
  <si>
    <t xml:space="preserve">OOO </t>
  </si>
  <si>
    <t>AI for SCM Course On Camera Intro Recording</t>
  </si>
  <si>
    <t>AI for SCM Course: Recording</t>
  </si>
  <si>
    <t>Analyze 26D NFs in Environment</t>
  </si>
  <si>
    <t>26D NFs</t>
  </si>
  <si>
    <t>OOO Oct 12-16</t>
  </si>
  <si>
    <t>US Holiday- Veterans Day</t>
  </si>
  <si>
    <t>Quality Issue and Action Implementation Design Doc</t>
  </si>
  <si>
    <t>Live Session - Nov 16</t>
  </si>
  <si>
    <t>US Holiday- Thanksgiving</t>
  </si>
  <si>
    <t xml:space="preserve">26B Pending Agent (AI Agent: Work Order Completion Assistant) for D02 Pod </t>
  </si>
  <si>
    <t xml:space="preserve">26B Pending Agentic App (AI Agentic App: Production Shift Operations Workspace) for D02 Pod </t>
  </si>
  <si>
    <t>Christmas Day</t>
  </si>
  <si>
    <t>NY Day</t>
  </si>
  <si>
    <t>AI Agent Studio Cert Exam Review</t>
  </si>
  <si>
    <t>OCW Content Creation</t>
  </si>
  <si>
    <t>AI for SCM Course Intro Recordings</t>
  </si>
  <si>
    <t>Live Session</t>
  </si>
  <si>
    <t xml:space="preserve">Demand Mgmt Course Remainder Recordings </t>
  </si>
  <si>
    <t>AI World Conference</t>
  </si>
  <si>
    <t>Infodev 25B: Oracle SCM Cloud: Demand Mgmt Wrap up</t>
  </si>
  <si>
    <t>CPS Energy Customer Event Training Prep</t>
  </si>
  <si>
    <r>
      <rPr>
        <sz val="10"/>
        <color rgb="FF000000"/>
        <rFont val="Aptos Narrow"/>
        <scheme val="minor"/>
      </rPr>
      <t xml:space="preserve">CPS Energy Customer Event Training Prep
</t>
    </r>
    <r>
      <rPr>
        <b/>
        <sz val="10"/>
        <color rgb="FF000000"/>
        <rFont val="Aptos Narrow"/>
        <scheme val="minor"/>
      </rPr>
      <t>Live Session Prep</t>
    </r>
  </si>
  <si>
    <r>
      <rPr>
        <sz val="10"/>
        <color rgb="FF000000"/>
        <rFont val="Aptos Narrow"/>
        <scheme val="minor"/>
      </rPr>
      <t xml:space="preserve">CPS Energy Customer Event Training Prep
</t>
    </r>
    <r>
      <rPr>
        <b/>
        <sz val="10"/>
        <color rgb="FF000000"/>
        <rFont val="Aptos Narrow"/>
        <scheme val="minor"/>
      </rPr>
      <t xml:space="preserve">
Live Session</t>
    </r>
  </si>
  <si>
    <t>26A NF Impact Analysis on Infodev Courses
PPT Creation for NFs</t>
  </si>
  <si>
    <t>CPS Energy Customer Event Delivery</t>
  </si>
  <si>
    <t>Bereavement OOO</t>
  </si>
  <si>
    <r>
      <rPr>
        <strike/>
        <sz val="10"/>
        <color rgb="FF000000"/>
        <rFont val="Aptos Narrow"/>
        <scheme val="minor"/>
      </rPr>
      <t xml:space="preserve">Navigator NF
</t>
    </r>
    <r>
      <rPr>
        <sz val="10"/>
        <color rgb="FF000000"/>
        <rFont val="Aptos Narrow"/>
        <scheme val="minor"/>
      </rPr>
      <t xml:space="preserve">
AI Agent Workflows Training</t>
    </r>
  </si>
  <si>
    <r>
      <rPr>
        <strike/>
        <sz val="10"/>
        <color rgb="FF000000"/>
        <rFont val="Aptos Narrow"/>
        <scheme val="minor"/>
      </rPr>
      <t xml:space="preserve">26A NFs
</t>
    </r>
    <r>
      <rPr>
        <sz val="10"/>
        <color rgb="FF000000"/>
        <rFont val="Aptos Narrow"/>
        <scheme val="minor"/>
      </rPr>
      <t xml:space="preserve">
AI Agent Workflows Training</t>
    </r>
  </si>
  <si>
    <r>
      <rPr>
        <strike/>
        <sz val="10"/>
        <color rgb="FF000000"/>
        <rFont val="Aptos Narrow"/>
        <scheme val="minor"/>
      </rPr>
      <t xml:space="preserve">26A NFs
</t>
    </r>
    <r>
      <rPr>
        <sz val="10"/>
        <color rgb="FF000000"/>
        <rFont val="Aptos Narrow"/>
        <scheme val="minor"/>
      </rPr>
      <t xml:space="preserve">
AI Agent Workflows - Impact Analysis for AI Agent Developer Course</t>
    </r>
  </si>
  <si>
    <t>Gap Analysis: AI for SCM Course (SME Analysis)
Gap Analysis: AI Agent Studio Foundations Course</t>
  </si>
  <si>
    <t xml:space="preserve">AI Agent Workflows - AI Agent Developer - Research, Testing Demo Capability, Finalizing DD
Navigator PPT Update - 3 Use Cases </t>
  </si>
  <si>
    <t>Navigator PPT Recording - 3 Use Cases 
AI Agent Developer Course Hands on Lab Impact Assessment for 3 Labs + 7 Labs for Omkar</t>
  </si>
  <si>
    <t>Content Development: AI Agent Workflows for AI Agent Developer Course</t>
  </si>
  <si>
    <t>Live Session - Feb 18 - Sourcing Rules and ATP Rules</t>
  </si>
  <si>
    <t>Content Development: AI Agent Advisor Agents Testing</t>
  </si>
  <si>
    <t>Cert Questions for Workflow Agents</t>
  </si>
  <si>
    <t>AI for SCM Course Content Development</t>
  </si>
  <si>
    <t>AIAS Developer Poor Performing Questions Review SCM</t>
  </si>
  <si>
    <t>SOP 2026 Base Exam Full Uplift - Day 1</t>
  </si>
  <si>
    <t>SOP 2026 Base Exam Full Uplift - Day 2</t>
  </si>
  <si>
    <t>SOP 2026 Base Exam Full Uplift - Day 3</t>
  </si>
  <si>
    <t>SOP 2026 Base Exam Full Uplift - Day 4</t>
  </si>
  <si>
    <t xml:space="preserve">Recording: AI for SCM Course </t>
  </si>
  <si>
    <t>Testing for Agents in AI for SCM course which were not working 
26B NF Environment Testing</t>
  </si>
  <si>
    <t>SOP 2026 Base Exam Full Uplift - Additional Work - Day 1</t>
  </si>
  <si>
    <t>SOP 2026 Base Exam Full Uplift - References Update 60 Questions - Day 2</t>
  </si>
  <si>
    <t>SOP 2026 Base Exam Full Uplift - EM/CDL Review Fixes - Day 3</t>
  </si>
  <si>
    <t>26BNF Content Dev + Recording
SOP 2026 Base Exam Full Uplift - References - Delayed due to OGC Slowness</t>
  </si>
  <si>
    <t>SOP 2026 Base Exam Full Uplift - Peer Review Fixes - Day 4</t>
  </si>
  <si>
    <t>2026 Delta Exam: Planning Day 1</t>
  </si>
  <si>
    <t>2026 Delta Exam: Planning Day 2</t>
  </si>
  <si>
    <t>Live Session - April 30 - Supply Chain Planning AI Agents Review</t>
  </si>
  <si>
    <t>2026 Delta Exam: Planning Day 3</t>
  </si>
  <si>
    <t>2026 Delta Exam: Planning Day 4</t>
  </si>
  <si>
    <t>OOO May 5 - 14</t>
  </si>
  <si>
    <t>2026 Delta Exam: Planning Questions Re-Write</t>
  </si>
  <si>
    <t>2026 Delta Exam: Planning Questions EM Review Feedback Incorporation</t>
  </si>
  <si>
    <t>25C to 26B Planning  Foundation Course Gap Analysis</t>
  </si>
  <si>
    <t>OOO May 21-22</t>
  </si>
  <si>
    <t>2026 Delta Exam: Planning Day 5 Peer Review and References</t>
  </si>
  <si>
    <t>Navigator May 1 Day Update</t>
  </si>
  <si>
    <t>25C to 26B Planning  Foundation Course - Design Doc (inc. Prod Scheduling, Replenishment Planning)</t>
  </si>
  <si>
    <t>25C to 26B Planning  Foundation Course - Content Creation T2S</t>
  </si>
  <si>
    <t>SCM Masterclass</t>
  </si>
  <si>
    <t>25C to 26B Planning  Foundation Course - Content Creation T2S (Final Review)</t>
  </si>
  <si>
    <t>Planning  Foundation Course -  Demo/AG Recording</t>
  </si>
  <si>
    <t>Cloud Applications Curriculum Audit - FY27</t>
  </si>
  <si>
    <t>Content Dev/Recording 26C NFs
Curriculum Audit Report/Changes</t>
  </si>
  <si>
    <t>SCM Masterclass - Coverage of Additional Topics</t>
  </si>
  <si>
    <t>Testing the Labs for AI Agent Studio 26C Workshop</t>
  </si>
  <si>
    <t>Partner Session Prep
Testing Agent Studio OU Course Labs</t>
  </si>
  <si>
    <t>OPN Partner Session Delivery</t>
  </si>
  <si>
    <t>Navigator 26C July Release Work - 3 Use Cases</t>
  </si>
  <si>
    <t>AI Agent Studio - Agentic Apps Virtual Workship July 28-30</t>
  </si>
  <si>
    <t>Navigator Pending Work 26C NFs (Half Day)</t>
  </si>
  <si>
    <t>Master cert exam dry run- AI Agents Developer Course (Half Day)
SCM Masterclass Re-Record 26C/New Topics</t>
  </si>
  <si>
    <t>SCM Masterclass Re-Record 26C/New Topics</t>
  </si>
  <si>
    <t>Grab Taxi Customer Specific Live Session - Aug 11</t>
  </si>
  <si>
    <t>Planning Foundation Course Uplift with 26B NFs &amp; AI - Design Doc/Gap Analysis per Portfolio</t>
  </si>
  <si>
    <t>AI for SCM Course Content Creation
SCM Masterclass - Record 3 Demos</t>
  </si>
  <si>
    <t>SCM Masterclass - Record 3 Demos</t>
  </si>
  <si>
    <t>AIAS Developer Course Demo Testing &amp; Rewrite</t>
  </si>
  <si>
    <t xml:space="preserve">Navigator 26C Aug Release - 4 Use Cases - 2 Days
</t>
  </si>
  <si>
    <t>AI for SCM Course - Create Content for Labs</t>
  </si>
  <si>
    <t>AI for SCM Course On Camera Intro Recording
AI for SCM Course - Review and Finalize Skills Assessment</t>
  </si>
  <si>
    <t>AI for SCM Course - Create Content for Labs/Demos
AI for SCM Course - Review and Finalize Skills Assessment</t>
  </si>
  <si>
    <t>AI for SCM Course - Create Content for Labs
AI for SCM Course: Recording</t>
  </si>
  <si>
    <t>AI for SCM Course: Recording
AI World Prep</t>
  </si>
  <si>
    <t>CLS Live Session - Oct 6</t>
  </si>
  <si>
    <t>Planning Foundation Course Uplift with 26B NFs &amp; AI - Content Creation + T2S scripts</t>
  </si>
  <si>
    <t>Supply Chain Collab Course Uplift with 26B NFs &amp; AI - Design Doc/Gap Analysis per Portfolio</t>
  </si>
  <si>
    <t>Live Session - Dec 9</t>
  </si>
  <si>
    <t>Oracle Fusion Cloud SCM: Order Management and Fulfillment Cloud Implementation (Full Record) 25A</t>
  </si>
  <si>
    <t>1/2 Day - Customer Query 
1/2 Day - 25D NFs</t>
  </si>
  <si>
    <t>Oracle Fusion Cloud SCM: Order Management and Fulfillment Cloud Implementation (Full Record) 25A
OTM/GTM/Procurement Community Questions - 6 total took 3 hours to research and respond</t>
  </si>
  <si>
    <r>
      <rPr>
        <b/>
        <sz val="10"/>
        <color rgb="FF000000"/>
        <rFont val="Aptos Narrow"/>
        <scheme val="minor"/>
      </rPr>
      <t xml:space="preserve">Live Session
</t>
    </r>
    <r>
      <rPr>
        <sz val="10"/>
        <color rgb="FF000000"/>
        <rFont val="Aptos Narrow"/>
        <scheme val="minor"/>
      </rPr>
      <t>CPS Energy Customer Event Training Prep</t>
    </r>
  </si>
  <si>
    <t>CPS Energy Customer Event Delivery Day 1 Prep</t>
  </si>
  <si>
    <t>Procurement HPE/PBT Exam Peer Review</t>
  </si>
  <si>
    <t>Live Session - Jan 13 - What’s New in Order Management? New Features and Enhancements</t>
  </si>
  <si>
    <t>Remaining Order Management and Fulfillment Cloud Implementation (Full Record) 25A - 20 Lectures, 5 Practices &amp; 24 Demos</t>
  </si>
  <si>
    <t>Order Mgmt 2026 Base Exam Full Uplift - Day 1</t>
  </si>
  <si>
    <t>Order Mgmt 2026 Base Exam Full Uplift - Day 2</t>
  </si>
  <si>
    <t>Order Mgmt 2026 Base Exam Full Uplift - Day 3</t>
  </si>
  <si>
    <t>Order Mgmt 2026 Base Exam Full Uplift - Day 4</t>
  </si>
  <si>
    <t>Order Mgmt 2026 Base Exam Full Uplift - Day 6 - Peer Review Fixes &amp; Updating References</t>
  </si>
  <si>
    <t>Order Mgmt Exam Fixes 
OTM GTM 2026 Base Exam Full Uplift - Peer Review</t>
  </si>
  <si>
    <t xml:space="preserve">Live Session - March 12 - Topic
Review AG of Advanced Tech Course </t>
  </si>
  <si>
    <t>AI for SCM Course Recording</t>
  </si>
  <si>
    <t>Procurement 2026 Base Exam Partial Uplift - Day 3 - Peer Review</t>
  </si>
  <si>
    <t>Complete last recording for AI for SCM course with Navigator Environment</t>
  </si>
  <si>
    <t>SCM Process Essentials Course Evaluation/ Gap Analysis</t>
  </si>
  <si>
    <t>Advanced Techniques course - AG Recording/ Environment Testing</t>
  </si>
  <si>
    <t>Agentic Apps Course Design Doc (2 Apps)</t>
  </si>
  <si>
    <t>OOO Apr 27 - May 1</t>
  </si>
  <si>
    <t>VT Testing 4 Courses</t>
  </si>
  <si>
    <t>2026 Delta Exam: Order Mgmt Day 1</t>
  </si>
  <si>
    <t>2026 Delta Exam: Order Mgmt Day 2</t>
  </si>
  <si>
    <t>2026 Delta Exam: Order Mgmt Day 3</t>
  </si>
  <si>
    <t>2026 Delta Exam: Order Mgmt Day 4</t>
  </si>
  <si>
    <t>2026 Delta Exam: PRC Peer Review</t>
  </si>
  <si>
    <t>Advanced Techniques course - AG Fixes</t>
  </si>
  <si>
    <t>2026 Delta Exam: Order Mgmt Day 5 Peer Review and References</t>
  </si>
  <si>
    <t>Agentic Apps Data Seeding - Sales Order Command Center</t>
  </si>
  <si>
    <t>Live Session - May 27</t>
  </si>
  <si>
    <t>Navigator NF CX Content - Delivered Enabled Features</t>
  </si>
  <si>
    <t>Sales Order Comman Center Agentic App Demo Testing &amp; Recording</t>
  </si>
  <si>
    <t>Advanced Techniques course - AG Recording only</t>
  </si>
  <si>
    <t>Navigator Quote to Revenue Use Cases Update</t>
  </si>
  <si>
    <t>VT AG Resolution - Advanced Techniques</t>
  </si>
  <si>
    <t xml:space="preserve">VT AG Resolution - Configure to Order </t>
  </si>
  <si>
    <t>Sales Command Center Agentic App Demo</t>
  </si>
  <si>
    <t>Order Mgmt Course Uplift 25D-26B, Agents, Backlog Mgmt - Design Doc</t>
  </si>
  <si>
    <t>Live Session - Jul 14</t>
  </si>
  <si>
    <t>CTO VT Changes</t>
  </si>
  <si>
    <t>Adv Supply Chain VT Changes</t>
  </si>
  <si>
    <t>Adv Supply Chain Course VT AG Updates/ Re-Recording 6 practices</t>
  </si>
  <si>
    <t>Review Candidate feedback for the Order Mgmt Exam (1/2 Day)
Adv Supply Chain Course VT AG Updates/ Re-Recording 6 practices</t>
  </si>
  <si>
    <t>Partner Session Delivery - Aug 11</t>
  </si>
  <si>
    <t>Adv Supply Chain Course VT AG Updates/ Re-Recording 6 practices
AI for SCM Course Design Document</t>
  </si>
  <si>
    <t xml:space="preserve">CTO VT AG Updates/ Re-Recording 3 Practices
</t>
  </si>
  <si>
    <t>CLS Live Session - Sept 10</t>
  </si>
  <si>
    <t>Navigator 26C Aug Release - 1 Use Case - 1 Day</t>
  </si>
  <si>
    <t>AI for SCM Course - Demo Feasibility</t>
  </si>
  <si>
    <t>AI for SCM Course - Create Content for Lab</t>
  </si>
  <si>
    <t>AI for SCM Course Lab
AI World Prep</t>
  </si>
  <si>
    <t>OOO Oct 5-9</t>
  </si>
  <si>
    <t>Order Mgmt Course Uplift 25D-26B, Agents, Backlog Mgmt - Content Creation</t>
  </si>
  <si>
    <t>CTO and CM Course (merge &amp; create new course)- Design Doc</t>
  </si>
  <si>
    <t>Live Session - Nov 19</t>
  </si>
  <si>
    <t>Inventory Base &amp; Delta Exam Uptake</t>
  </si>
  <si>
    <t>PLM Base &amp; Delta Exam Uptake</t>
  </si>
  <si>
    <t>Inventory HPE/PBT Exam Update</t>
  </si>
  <si>
    <r>
      <rPr>
        <strike/>
        <sz val="10"/>
        <color rgb="FF000000"/>
        <rFont val="Aptos Narrow"/>
        <scheme val="minor"/>
      </rPr>
      <t xml:space="preserve">26A NFs
</t>
    </r>
    <r>
      <rPr>
        <sz val="10"/>
        <color rgb="FF000000"/>
        <rFont val="Aptos Narrow"/>
        <scheme val="minor"/>
      </rPr>
      <t>W-0 Impact Analysis</t>
    </r>
  </si>
  <si>
    <t>Product Management Implementation Course Revamp - New Module (Content Creation)</t>
  </si>
  <si>
    <t>Inventory 2026 Base Exam Partial Uplift - Day 1</t>
  </si>
  <si>
    <t>Inventory 2026 Base Exam Partial Uplift - Day 2 - EM CDL Review Fixes</t>
  </si>
  <si>
    <t>Inventory 2026 Base Exam Partial Uplift - Day 4 - Peer Review Fixes</t>
  </si>
  <si>
    <t>PLM 2026 Base Exam Full Uplift - Day 1</t>
  </si>
  <si>
    <t>PLM 2026 Base Exam Full Uplift - Day 2</t>
  </si>
  <si>
    <t>PLM 2026 Base Exam Full Uplift - Day 3</t>
  </si>
  <si>
    <t>PLM 2026 Base Exam Full Uplift - Day 4</t>
  </si>
  <si>
    <t>Product Management Implementation Course Revamp - Recording</t>
  </si>
  <si>
    <t>AIAS Developer AG Testing</t>
  </si>
  <si>
    <t>Product Management Implementation Course Revamp - Recording T2S</t>
  </si>
  <si>
    <t>PLM 2026 Base Exam Full Uplift - Day 6 - Peer Review Fixes</t>
  </si>
  <si>
    <t>Agentic Apps</t>
  </si>
  <si>
    <t>Agentic Apps Course Design Doc (3 Apps)</t>
  </si>
  <si>
    <t>Chennai Holiday</t>
  </si>
  <si>
    <t>IDC Holiday - May 1</t>
  </si>
  <si>
    <t>2026 Delta Exam: PLM Day 1</t>
  </si>
  <si>
    <t>2026 Delta Exam: PLM Day 2</t>
  </si>
  <si>
    <t>2026 Delta Exam: PLM Day 3</t>
  </si>
  <si>
    <t>2026 Delta Exam: PLM Day 4</t>
  </si>
  <si>
    <t>2026 Delta Exam: Inventory Day 1</t>
  </si>
  <si>
    <t>2026 Delta Exam: Inventory Day 2</t>
  </si>
  <si>
    <t>2026 Delta Exam: Inventory Day 3</t>
  </si>
  <si>
    <t>2026 Delta Exam: Inventory Day 4</t>
  </si>
  <si>
    <t>2026 Delta Exam: PLM Day 5 Peer Review and References</t>
  </si>
  <si>
    <t>2026 Delta Exam: Inventory Day 5 Peer Review and References</t>
  </si>
  <si>
    <t>IDC Holiday - May 28</t>
  </si>
  <si>
    <t>26B PLM Course Uplift - NFs, Agentic Apps - Design Doc</t>
  </si>
  <si>
    <t>26B PLM Course Uplift - NFs, Agentic Apps - Content Creation</t>
  </si>
  <si>
    <t>VT AG Resolution - Manage Project Driven Supply Chain Course</t>
  </si>
  <si>
    <t>26B PLM Course Uplift - NFs, Agentic Apps - Recording</t>
  </si>
  <si>
    <t>Six AI Agents from D2 Pod</t>
  </si>
  <si>
    <t>26B Six AI Agents from D2 Pod</t>
  </si>
  <si>
    <t>VT Changes for PLM Course (Redwood Functionality)</t>
  </si>
  <si>
    <t>AI for SCM Course Demo Scripts</t>
  </si>
  <si>
    <t>Rework Ai for SCM Course Slides per Vidya's Feedback</t>
  </si>
  <si>
    <t>AIAS Developer Course Labs Review and Changes - 2</t>
  </si>
  <si>
    <t>AIAS Developer Course Labs Review and Changes - 2
SL &amp; IM VT Testing</t>
  </si>
  <si>
    <t>AIAS Developer Course Labs Review and Changes - 2 (Continue)</t>
  </si>
  <si>
    <t>PLM Course Uplift - Gap Analysis/DD per Portfolio</t>
  </si>
  <si>
    <t>Oracle BLR Holiday - Sep 14</t>
  </si>
  <si>
    <r>
      <rPr>
        <sz val="10"/>
        <color rgb="FF000000"/>
        <rFont val="Aptos Narrow"/>
        <scheme val="minor"/>
      </rPr>
      <t xml:space="preserve">AI for SCM Full Course - </t>
    </r>
    <r>
      <rPr>
        <b/>
        <sz val="10"/>
        <color rgb="FF000000"/>
        <rFont val="Aptos Narrow"/>
        <scheme val="minor"/>
      </rPr>
      <t>SME Review</t>
    </r>
  </si>
  <si>
    <t>Oracle India Holiday - Oct 2</t>
  </si>
  <si>
    <t>OOO Oct 15</t>
  </si>
  <si>
    <t>BLR Holiday- Dussera</t>
  </si>
  <si>
    <t>OOO Oct 29</t>
  </si>
  <si>
    <t>PLM Course Uplift with 26B NFs, Redwood &amp; AI - Content Creation + T2S scripts</t>
  </si>
  <si>
    <t>India Holiday- Diwali</t>
  </si>
  <si>
    <t>New Inventory Implementation Course Designed from SCM Foundation Course - DD</t>
  </si>
  <si>
    <t>Navigator 25C</t>
  </si>
  <si>
    <t>Live Session Prep
Customer Event Prep</t>
  </si>
  <si>
    <t>Live Session
Customer Event</t>
  </si>
  <si>
    <t>Navigator 25C NF</t>
  </si>
  <si>
    <t>26A NF Template Pilot</t>
  </si>
  <si>
    <r>
      <rPr>
        <sz val="10"/>
        <color rgb="FF000000"/>
        <rFont val="Aptos Narrow"/>
        <scheme val="minor"/>
      </rPr>
      <t xml:space="preserve">
</t>
    </r>
    <r>
      <rPr>
        <b/>
        <sz val="10"/>
        <color rgb="FF000000"/>
        <rFont val="Aptos Narrow"/>
        <scheme val="minor"/>
      </rPr>
      <t>Sunrun- Prep
Live Session- Cert Prep Session</t>
    </r>
  </si>
  <si>
    <r>
      <rPr>
        <sz val="10"/>
        <color rgb="FF000000"/>
        <rFont val="Aptos Narrow"/>
        <scheme val="minor"/>
      </rPr>
      <t xml:space="preserve">Procurement HPE/PBT Exam Update
</t>
    </r>
    <r>
      <rPr>
        <b/>
        <sz val="10"/>
        <color rgb="FF000000"/>
        <rFont val="Aptos Narrow"/>
        <scheme val="minor"/>
      </rPr>
      <t>Sunrun- Prep</t>
    </r>
  </si>
  <si>
    <r>
      <rPr>
        <strike/>
        <sz val="10"/>
        <color rgb="FF000000"/>
        <rFont val="Aptos Narrow"/>
        <scheme val="minor"/>
      </rPr>
      <t xml:space="preserve">Procurement HPE/PBT Exam Update
</t>
    </r>
    <r>
      <rPr>
        <b/>
        <strike/>
        <sz val="10"/>
        <color rgb="FF000000"/>
        <rFont val="Aptos Narrow"/>
        <scheme val="minor"/>
      </rPr>
      <t xml:space="preserve">
</t>
    </r>
    <r>
      <rPr>
        <b/>
        <sz val="10"/>
        <color rgb="FF000000"/>
        <rFont val="Aptos Narrow"/>
        <scheme val="minor"/>
      </rPr>
      <t>26A NF Pilot
Sunrun- Prep</t>
    </r>
  </si>
  <si>
    <r>
      <rPr>
        <sz val="10"/>
        <color rgb="FF000000"/>
        <rFont val="Aptos Narrow"/>
        <scheme val="minor"/>
      </rPr>
      <t xml:space="preserve">Procurement HPE/PBT Exam Update
</t>
    </r>
    <r>
      <rPr>
        <b/>
        <sz val="10"/>
        <color rgb="FF000000"/>
        <rFont val="Aptos Narrow"/>
        <scheme val="minor"/>
      </rPr>
      <t xml:space="preserve">
Sunrun (Private Event)</t>
    </r>
  </si>
  <si>
    <t>Procurement HPE/PBT Exam Update</t>
  </si>
  <si>
    <t>AI Developer course AG /Lab creation and recording</t>
  </si>
  <si>
    <t>Navigator NF
Live Session Prep</t>
  </si>
  <si>
    <t>Live Session - Feb 10 - Transforming Sourcing with Generative AI in Oracle Fusion Sourcing (moved from Jan 15)</t>
  </si>
  <si>
    <t>Navigator NF- L2 Video</t>
  </si>
  <si>
    <t>Inventory 2026 Base Exam Partial Uplift - Day 3 - Peer Review</t>
  </si>
  <si>
    <r>
      <rPr>
        <sz val="10"/>
        <color rgb="FF000000"/>
        <rFont val="Aptos Narrow"/>
        <scheme val="minor"/>
      </rPr>
      <t xml:space="preserve">AI for SCM Course Content Development
</t>
    </r>
    <r>
      <rPr>
        <b/>
        <sz val="10"/>
        <color rgb="FF000000"/>
        <rFont val="Aptos Narrow"/>
        <scheme val="minor"/>
      </rPr>
      <t>RE&amp;F AI Session (Prep &amp; Session) (Half-Day)</t>
    </r>
  </si>
  <si>
    <t xml:space="preserve">Recording: AI Agent Developer Course </t>
  </si>
  <si>
    <t>AI Agent Developer Course Testing</t>
  </si>
  <si>
    <t>26A NFs - AI Agents PRC
Dates for this could change based on NF availability in D2</t>
  </si>
  <si>
    <t>26A NFs - AI Agents PRC
AI for SCM SKill Check (3hrs)
Dates for this could change based on NF availability in D2</t>
  </si>
  <si>
    <t>Live Session - March 17 - What’s New in Procurement Certification</t>
  </si>
  <si>
    <t>Procurement 2026 Base Exam Partial Uplift - Day 1</t>
  </si>
  <si>
    <t>Procurement 2026 Base Exam Partial Uplift - Day 2 - EM CDL Review Fixes</t>
  </si>
  <si>
    <t>Partner Session Prep
Navigator March Release (Half Day)</t>
  </si>
  <si>
    <t>Procurement 2026 Base Exam Partial Uplift - Day 4 - Peer Review Fixes</t>
  </si>
  <si>
    <t>AI Agents Session for APrtners- Prep.
26A NFs - AI Agents PRC</t>
  </si>
  <si>
    <t>AI Agents Session for APrtners- Prep.</t>
  </si>
  <si>
    <t>AI Agents Session for Partners- Prep &amp; Session.</t>
  </si>
  <si>
    <t>Reporting VT Issue for Oracle SCM Cloud
Navigator March Release</t>
  </si>
  <si>
    <t>Agentic Apps Course Recording Demo's (extra day1)</t>
  </si>
  <si>
    <t>26BNF Content Dev + Recording- Unboxing</t>
  </si>
  <si>
    <t>Live Session - April 28 - AI Agent: Purchase Requisition Status Advisor</t>
  </si>
  <si>
    <t>Agentic Apps Course Recording Demo's (extra day2)</t>
  </si>
  <si>
    <t>Agentic Apps Course Recording Demo's (extra day3)</t>
  </si>
  <si>
    <t>2026 Delta Exam: PRC Day 1</t>
  </si>
  <si>
    <t>2026 Delta Exam: PRC Day 2</t>
  </si>
  <si>
    <t>2026 Delta Exam: PRC Day 3</t>
  </si>
  <si>
    <t>2026 Delta Exam: PRC Day 4</t>
  </si>
  <si>
    <t xml:space="preserve">Live Session - May 13 - Procurement Implementation Coaching Session- PREP Day
</t>
  </si>
  <si>
    <t xml:space="preserve">Live Session - May 13 - Procurement Implementation Coaching Session
</t>
  </si>
  <si>
    <t>26A Remaining 2 AI Agents</t>
  </si>
  <si>
    <t xml:space="preserve">2026 Delta Exam: PRC Day 5 Peer Review and References
</t>
  </si>
  <si>
    <t>26A Remaining Two AI Agents PPT, Demo &amp; Recording</t>
  </si>
  <si>
    <t>26A Remaining 2 AI Agents PPT, Demo &amp; Recording (Half- Day)
Impact Analysis: PRC: Full Course+Redwood+AI (Half Day)</t>
  </si>
  <si>
    <t>Impact Analysis: PRC: Full Course+Redwood+AI</t>
  </si>
  <si>
    <t xml:space="preserve">PRC HPE Exam Feedback Review and Address
</t>
  </si>
  <si>
    <t>26A &amp; 26B New AI Agents from D2 Pod</t>
  </si>
  <si>
    <t xml:space="preserve">Live Session
</t>
  </si>
  <si>
    <t>26B 5 AI Agents from D2 Pod</t>
  </si>
  <si>
    <t xml:space="preserve">26B 5 AI Agents from D2 Pod
</t>
  </si>
  <si>
    <t>Partner Session: AI Agentic App: Sourcing Command Center</t>
  </si>
  <si>
    <r>
      <rPr>
        <sz val="10"/>
        <color rgb="FF000000"/>
        <rFont val="Aptos Narrow"/>
        <scheme val="minor"/>
      </rPr>
      <t xml:space="preserve">Content Dev/Recording 26C NFs
</t>
    </r>
    <r>
      <rPr>
        <b/>
        <sz val="10"/>
        <color rgb="FF000000"/>
        <rFont val="Aptos Narrow"/>
        <scheme val="minor"/>
      </rPr>
      <t>Live Session Prep (Half Day)</t>
    </r>
  </si>
  <si>
    <t>Live Session - Jul 29
Content Dev/Recording 26C NFs (Half Day)</t>
  </si>
  <si>
    <r>
      <rPr>
        <sz val="10"/>
        <color rgb="FF000000"/>
        <rFont val="Aptos Narrow"/>
      </rPr>
      <t xml:space="preserve">Master cert exam dry run- AI Agents Developer Course (Half Day)
</t>
    </r>
    <r>
      <rPr>
        <sz val="10"/>
        <color rgb="FF156082"/>
        <rFont val="Aptos Narrow"/>
      </rPr>
      <t>Content Dev/Recording 26C NFs</t>
    </r>
  </si>
  <si>
    <r>
      <rPr>
        <sz val="10"/>
        <color rgb="FF000000"/>
        <rFont val="Aptos Narrow"/>
        <scheme val="minor"/>
      </rPr>
      <t xml:space="preserve">July Navigator
</t>
    </r>
    <r>
      <rPr>
        <sz val="10"/>
        <color rgb="FFE97132"/>
        <rFont val="Aptos Narrow"/>
        <scheme val="minor"/>
      </rPr>
      <t>1Z0-1065-26: Procurement HPE Question Review (Half Day)</t>
    </r>
  </si>
  <si>
    <t>July Navigator</t>
  </si>
  <si>
    <t>Deloitte Partner session for Agentic Apps- Prep</t>
  </si>
  <si>
    <r>
      <rPr>
        <sz val="10"/>
        <color rgb="FFE97132"/>
        <rFont val="Aptos Narrow"/>
      </rPr>
      <t xml:space="preserve">PRC IMPL VT (Half Day)
</t>
    </r>
    <r>
      <rPr>
        <sz val="10"/>
        <color rgb="FF000000"/>
        <rFont val="Aptos Narrow"/>
      </rPr>
      <t xml:space="preserve">
Content Dev: PRC: 25B - 26B +AI: </t>
    </r>
    <r>
      <rPr>
        <b/>
        <sz val="10"/>
        <color rgb="FF000000"/>
        <rFont val="Aptos Narrow"/>
      </rPr>
      <t>DD</t>
    </r>
  </si>
  <si>
    <t>Deloitte Partner session for Agentic Apps- Prep+Session- APAC</t>
  </si>
  <si>
    <t>Deloitte Partner session for Agentic Apps- Prep+Session- NAMER</t>
  </si>
  <si>
    <r>
      <rPr>
        <sz val="10"/>
        <color rgb="FF000000"/>
        <rFont val="Aptos Narrow"/>
        <scheme val="minor"/>
      </rPr>
      <t xml:space="preserve">Navigator Aug Release (2 use Cases)
</t>
    </r>
    <r>
      <rPr>
        <sz val="10"/>
        <color rgb="FF0E2841"/>
        <rFont val="Aptos Narrow"/>
        <scheme val="minor"/>
      </rPr>
      <t>AI for SCM Course Content Creation (Half Day)</t>
    </r>
  </si>
  <si>
    <t>AI for SCM Course Content Creation Feedback</t>
  </si>
  <si>
    <t>Navigator Aug Release (2 use Cases)
AI for SCM Course Content Creation Feedback (Half Day)</t>
  </si>
  <si>
    <t>Navigator Aug Release (2 use Cases)</t>
  </si>
  <si>
    <r>
      <rPr>
        <strike/>
        <sz val="10"/>
        <color rgb="FF000000"/>
        <rFont val="Aptos Narrow"/>
        <scheme val="minor"/>
      </rPr>
      <t xml:space="preserve">Navigator Aug Release (2 use Cases)
</t>
    </r>
    <r>
      <rPr>
        <b/>
        <sz val="10"/>
        <color rgb="FF000000"/>
        <rFont val="Aptos Narrow"/>
        <scheme val="minor"/>
      </rPr>
      <t>OOO- Sick</t>
    </r>
  </si>
  <si>
    <t>AIAS-Developer Course (3 labs)</t>
  </si>
  <si>
    <t>AI for SCM Course On Camera Intro Recording
AIAS-Developer Course (3 labs)</t>
  </si>
  <si>
    <r>
      <rPr>
        <strike/>
        <sz val="10"/>
        <color rgb="FF000000"/>
        <rFont val="Aptos Narrow"/>
      </rPr>
      <t xml:space="preserve">Content Dev: PRC: 25B - 26B +AI: </t>
    </r>
    <r>
      <rPr>
        <b/>
        <strike/>
        <sz val="10"/>
        <color rgb="FF000000"/>
        <rFont val="Aptos Narrow"/>
      </rPr>
      <t xml:space="preserve">Content Dev
</t>
    </r>
    <r>
      <rPr>
        <sz val="10"/>
        <color rgb="FF000000"/>
        <rFont val="Aptos Narrow"/>
      </rPr>
      <t>AI for SCM Course: Recording</t>
    </r>
  </si>
  <si>
    <t>AI for SCM Course: Recording
26D BOM NFs Analysis</t>
  </si>
  <si>
    <t>CLS Live Session - Oct 5</t>
  </si>
  <si>
    <t>Content Dev + Recording: 26D NFs</t>
  </si>
  <si>
    <r>
      <rPr>
        <sz val="10"/>
        <color rgb="FF000000"/>
        <rFont val="Aptos Narrow"/>
      </rPr>
      <t xml:space="preserve">Content Dev: PRC: 25B - 26B +AI: </t>
    </r>
    <r>
      <rPr>
        <b/>
        <sz val="10"/>
        <color rgb="FF000000"/>
        <rFont val="Aptos Narrow"/>
      </rPr>
      <t>Content Dev Resrever + Fixes</t>
    </r>
  </si>
  <si>
    <r>
      <rPr>
        <sz val="10"/>
        <color rgb="FF000000"/>
        <rFont val="Aptos Narrow"/>
      </rPr>
      <t xml:space="preserve">Content Dev: PRC: 25B - 26B +AI: </t>
    </r>
    <r>
      <rPr>
        <b/>
        <sz val="10"/>
        <color rgb="FF000000"/>
        <rFont val="Aptos Narrow"/>
      </rPr>
      <t xml:space="preserve">Recording
</t>
    </r>
    <r>
      <rPr>
        <b/>
        <sz val="10"/>
        <color rgb="FFE97132"/>
        <rFont val="Aptos Narrow"/>
      </rPr>
      <t>Navigator Possibility</t>
    </r>
  </si>
  <si>
    <r>
      <rPr>
        <sz val="10"/>
        <color rgb="FF000000"/>
        <rFont val="Aptos Narrow"/>
      </rPr>
      <t xml:space="preserve">Content Dev: PRC: 25B - 26B +AI: </t>
    </r>
    <r>
      <rPr>
        <b/>
        <sz val="10"/>
        <color rgb="FF000000"/>
        <rFont val="Aptos Narrow"/>
      </rPr>
      <t>Recording</t>
    </r>
  </si>
  <si>
    <t>Live Session - Nov 23
OOO</t>
  </si>
  <si>
    <t>ooo</t>
  </si>
  <si>
    <t>Live Session - Dec 14</t>
  </si>
  <si>
    <t xml:space="preserve">Navigator 25C NF </t>
  </si>
  <si>
    <t>25D BOM Activity</t>
  </si>
  <si>
    <t>AI for SCM Course BOM Review</t>
  </si>
  <si>
    <t>AI for SCM Course Inventory &amp; OM Modules</t>
  </si>
  <si>
    <r>
      <rPr>
        <sz val="10"/>
        <color rgb="FF000000"/>
        <rFont val="Aptos Narrow"/>
        <scheme val="minor"/>
      </rPr>
      <t xml:space="preserve">Navigator 25C NF
</t>
    </r>
    <r>
      <rPr>
        <b/>
        <sz val="10"/>
        <color rgb="FF000000"/>
        <rFont val="Aptos Narrow"/>
        <scheme val="minor"/>
      </rPr>
      <t>Live Session Prep</t>
    </r>
  </si>
  <si>
    <r>
      <rPr>
        <sz val="10"/>
        <color rgb="FF000000"/>
        <rFont val="Aptos Narrow"/>
        <scheme val="minor"/>
      </rPr>
      <t xml:space="preserve">Navigator 25C NF
</t>
    </r>
    <r>
      <rPr>
        <b/>
        <sz val="10"/>
        <color rgb="FF000000"/>
        <rFont val="Aptos Narrow"/>
        <scheme val="minor"/>
      </rPr>
      <t>Live Session</t>
    </r>
  </si>
  <si>
    <t xml:space="preserve">
AI Agent Studio</t>
  </si>
  <si>
    <t xml:space="preserve">
AI Agent Studio
</t>
  </si>
  <si>
    <r>
      <rPr>
        <b/>
        <sz val="10"/>
        <color rgb="FF000000"/>
        <rFont val="Aptos Narrow"/>
        <scheme val="minor"/>
      </rPr>
      <t xml:space="preserve">AI Agent Studio 
</t>
    </r>
    <r>
      <rPr>
        <sz val="10"/>
        <color rgb="FF000000"/>
        <rFont val="Aptos Narrow"/>
        <scheme val="minor"/>
      </rPr>
      <t>Navigator- OTM- Outbound Shipment To Delivery</t>
    </r>
  </si>
  <si>
    <t>Navigator- OTM- Outbound Shipment To Delivery</t>
  </si>
  <si>
    <t xml:space="preserve"> 
Navigator- OTM- Outbound Shipment To Delivery</t>
  </si>
  <si>
    <t>OOO- Medical Leave</t>
  </si>
  <si>
    <t>HPE Exam Review- INV</t>
  </si>
  <si>
    <t>26A NF Impact Analysis:
Service Logistics &amp; Maintenance
Cost Management</t>
  </si>
  <si>
    <t>OOO- Sick</t>
  </si>
  <si>
    <t xml:space="preserve">My Learn AI Testing. </t>
  </si>
  <si>
    <r>
      <rPr>
        <strike/>
        <sz val="10"/>
        <color rgb="FF000000"/>
        <rFont val="Aptos Narrow"/>
        <scheme val="minor"/>
      </rPr>
      <t xml:space="preserve">Gap Analysis: AI for SCM Course (SME Analysis) + Navigator residue
</t>
    </r>
    <r>
      <rPr>
        <sz val="10"/>
        <color rgb="FF000000"/>
        <rFont val="Aptos Narrow"/>
        <scheme val="minor"/>
      </rPr>
      <t xml:space="preserve">
Navigator</t>
    </r>
  </si>
  <si>
    <t>Research: CM Extensibility using VBS express mode</t>
  </si>
  <si>
    <t>Design Doc: SCM Extensibility using VBS express mode</t>
  </si>
  <si>
    <t>Design Doc Submission: SCM Extensibility using VBS express mode</t>
  </si>
  <si>
    <t>Manufacturing 2026 Base Exam Full Uplift - Peer Review</t>
  </si>
  <si>
    <t>Design Doc Fixes: SCM Extensibility using VBS express mode</t>
  </si>
  <si>
    <t xml:space="preserve">Live Session - Feb 12 - Warehouse Management Outbound processes
</t>
  </si>
  <si>
    <t>Content Development: SCM Extensibility using VBS express mode</t>
  </si>
  <si>
    <t>WMS 2026 Base Exam Full Uplift - Day 1</t>
  </si>
  <si>
    <t>WMS 2026 Base Exam Full Uplift - Day 2</t>
  </si>
  <si>
    <t>WMS 2026 Base Exam Full Uplift - Day 3</t>
  </si>
  <si>
    <t>WMS 2026 Base Exam Full Uplift - Day 4</t>
  </si>
  <si>
    <t>Order Mgmt 2026 Base Exam Full Uplift - Day 5 - Peer Review</t>
  </si>
  <si>
    <t>WMS 2026 Base Exam Full Uplift - Day 6 - Peer Review Fixes
VT Report for Maintenance Exam Issues</t>
  </si>
  <si>
    <t>Recording: SCM Extensibility using VBS express mode
My Learn VT Testing</t>
  </si>
  <si>
    <t>Recording: SCM Extensibility using VBS express mode</t>
  </si>
  <si>
    <t>Cost 2026 Base Exam Full Uplift - Day 1</t>
  </si>
  <si>
    <t>Cost 2026 Base Exam Full Uplift - Day 2</t>
  </si>
  <si>
    <t>Cost 2026 Base Exam Full Uplift - Day 3</t>
  </si>
  <si>
    <t>Cost 2026 Base Exam Full Uplift - Day 4</t>
  </si>
  <si>
    <t>Maintenance 2026 Base Exam Full Uplift - Day 1</t>
  </si>
  <si>
    <t>Cost 2026 Base Exam Full Uplift - Day 6 - Peer Review Fixes</t>
  </si>
  <si>
    <t>Maintenance 2026 Base Exam Full Uplift - Day 2</t>
  </si>
  <si>
    <t>Maintenance 2026 Base Exam Full Uplift - Day 3</t>
  </si>
  <si>
    <t>Maintenance 2026 Base Exam Full Uplift - Day 4</t>
  </si>
  <si>
    <t>OTM outbound shipment to delivery. 1 OMBP, 2 L2 to be recorded.</t>
  </si>
  <si>
    <t>Maintenance 2026 Base Exam Full Uplift - Day 6 - Peer Review Fixes</t>
  </si>
  <si>
    <t>Round 2: MyLearn AI Testing in PROD
Enterprise Chat: Discover and Design Prompts - Project for AI Prompt POC (Half Day)</t>
  </si>
  <si>
    <t>Live Session - April 2 - Prep</t>
  </si>
  <si>
    <t>Live Session - April 2 - WMS Receiving Process</t>
  </si>
  <si>
    <t>MH Escalation VT Testing PRC</t>
  </si>
  <si>
    <t>Issues with Quality Inspection Plan in Maintenance Management Module</t>
  </si>
  <si>
    <t>OTM/GTM Implementation Course Design Doc Review (5 hrs)
26B NF Environment Testing</t>
  </si>
  <si>
    <t>OTM/GTM Implementation Course Design Doc Review (5 hrs)
26BNF Content Dev + Recording</t>
  </si>
  <si>
    <t>2026 Delta Exam: Cost Day 1</t>
  </si>
  <si>
    <t xml:space="preserve">Agentic Apps Course Content Creation &amp; Recording
</t>
  </si>
  <si>
    <t>Agentic Apps Course Content Creation &amp; Recording
VT Testing  OM (3 HRS)
WMS BOM (2 HRS)</t>
  </si>
  <si>
    <t>Agentic Apps Course Content Creation &amp; Recording
Unboxing- Maintenance (Half Day)</t>
  </si>
  <si>
    <t>2026 Delta Exam: Cost Day 2</t>
  </si>
  <si>
    <t>2026 Delta Exam: Cost Day 3</t>
  </si>
  <si>
    <t>2026 Delta Exam: Cost Day 4</t>
  </si>
  <si>
    <t>2026 Delta Exam: Maintenance Day 1</t>
  </si>
  <si>
    <t>2026 Delta Exam: Maintenance Day 2</t>
  </si>
  <si>
    <t>2026 Delta Exam: Maintenance Day 3</t>
  </si>
  <si>
    <t>2026 Delta Exam: Maintenance Day 4
WMS NFs 26A/26B (BOM Assessment)</t>
  </si>
  <si>
    <t>2026 Delta Exam: Manufacturing Peer Review</t>
  </si>
  <si>
    <t>2026 Delta Exam: Order Mgmt Peer Review</t>
  </si>
  <si>
    <t>2026 Delta Exam: Cost Day 5 Peer Review and References</t>
  </si>
  <si>
    <t>2026 Delta Exam: Maintenance Day 5 Peer Review and References</t>
  </si>
  <si>
    <t>WMS NFs 26A only</t>
  </si>
  <si>
    <t>Design Doc: Cost Management Implementation (24D to 26B, AI)</t>
  </si>
  <si>
    <t>Round 3 : MyLearn AI Testing in PROD - Exam Prep (Half Day)</t>
  </si>
  <si>
    <t>Content: Cost Management Implementation (24D to 26B, AI)</t>
  </si>
  <si>
    <t>1D0-1079-26: OTM/GTM - Peer Review (Half Day)
Round 3: MyLearn AI Testing in PROD (Half Day)</t>
  </si>
  <si>
    <t>WMS Vendor Content for Delta Exam Review</t>
  </si>
  <si>
    <t>Live Session - June 18</t>
  </si>
  <si>
    <t>26B Three AI Agents from D2 Pod</t>
  </si>
  <si>
    <t>Portfolio Review Meeting Prep + Meeting</t>
  </si>
  <si>
    <t>26B Three AI Agents from D2 Pod
WMS Delta Exam BP Creation</t>
  </si>
  <si>
    <t xml:space="preserve">VT Completion and Activity Guide Updated for Oracle Warehouse Management Cloud Deep Dive </t>
  </si>
  <si>
    <t>Content Dev: Cost Management Implementation (24D to 26B, AI)</t>
  </si>
  <si>
    <t xml:space="preserve">Content Dev: Cost Management Implementation (24D to 26B, AI)
</t>
  </si>
  <si>
    <t>Analyze 26C NFs in Environment
WMS VT (Half Day)</t>
  </si>
  <si>
    <r>
      <rPr>
        <sz val="10"/>
        <color rgb="FF000000"/>
        <rFont val="Aptos Narrow"/>
        <scheme val="minor"/>
      </rPr>
      <t xml:space="preserve">Content Dev/Recording 26C NFs (Half Day)
</t>
    </r>
    <r>
      <rPr>
        <sz val="10"/>
        <color rgb="FFE97132"/>
        <rFont val="Aptos Narrow"/>
        <scheme val="minor"/>
      </rPr>
      <t>VT- Testing Agent Studio Labs (26C) (Half Day)</t>
    </r>
  </si>
  <si>
    <t>Content Dev/Recording 26C NFs- Unboxing (Half Day)
WMS VT (Half Day)</t>
  </si>
  <si>
    <t>26C AI Agents - 3 Agents</t>
  </si>
  <si>
    <t>26C AI Agents - 3 Agents
T Completion and Activity Guide Update – Oracle SCM Cloud:Cost Management Implementation Course  (Half Day)</t>
  </si>
  <si>
    <t>Content Dev FIXES: Cost Management Implementation (24D to 26B, AI)</t>
  </si>
  <si>
    <t>Deloitte Partner session for Agentic Apps- Prep (Half Day)
Content Dev FIXES: Cost Management Implementation (24D to 26B, AI) (Half Day)</t>
  </si>
  <si>
    <r>
      <rPr>
        <sz val="10"/>
        <color rgb="FF000000"/>
        <rFont val="Aptos Narrow"/>
      </rPr>
      <t xml:space="preserve">Master cert exam dry run- AI Agents Developer Course (Half Day)
</t>
    </r>
    <r>
      <rPr>
        <sz val="10"/>
        <color rgb="FF156082"/>
        <rFont val="Aptos Narrow"/>
      </rPr>
      <t xml:space="preserve">Deloitte Partner session for Agentic Apps- Prep (Half Day)
</t>
    </r>
  </si>
  <si>
    <t>Oracle AI in Fusion Cloud Supply Chain &amp; Manufacturing (SCM): DD</t>
  </si>
  <si>
    <t>Recording: Cost Management Implementation (24D to 26B, AI)</t>
  </si>
  <si>
    <r>
      <rPr>
        <sz val="10"/>
        <color rgb="FF000000"/>
        <rFont val="Aptos Narrow"/>
      </rPr>
      <t xml:space="preserve">
Oracle AI in Fusion Cloud Supply Chain &amp; Manufacturing (SCM) 
</t>
    </r>
    <r>
      <rPr>
        <sz val="10"/>
        <color rgb="FFFFC000"/>
        <rFont val="Aptos Narrow"/>
      </rPr>
      <t>VT: Oracle AI in Fusion Cloud Supply Chain &amp; Manufacturing (SCM (Half Day)</t>
    </r>
  </si>
  <si>
    <r>
      <rPr>
        <sz val="10"/>
        <color rgb="FF000000"/>
        <rFont val="Aptos Narrow"/>
      </rPr>
      <t xml:space="preserve">Oracle AI in Fusion Cloud Supply Chain &amp; Manufacturing (SCM): Content Dev
</t>
    </r>
    <r>
      <rPr>
        <sz val="10"/>
        <color rgb="FF44B3E1"/>
        <rFont val="Aptos Narrow"/>
      </rPr>
      <t>Reporting VT issues of Oracle SCM Cloud Maintenance Management Implementation (Half-Day)</t>
    </r>
  </si>
  <si>
    <t>Oracle AI in Fusion Cloud Supply Chain &amp; Manufacturing (SCM): Content Dev</t>
  </si>
  <si>
    <t>AIAS-Dev Course Uplift- Content Dev + Recording + AG Updates</t>
  </si>
  <si>
    <r>
      <rPr>
        <b/>
        <sz val="10"/>
        <color rgb="FF000000"/>
        <rFont val="Aptos Narrow"/>
        <scheme val="minor"/>
      </rPr>
      <t xml:space="preserve">OPN Partner Session Delivery
</t>
    </r>
    <r>
      <rPr>
        <b/>
        <sz val="10"/>
        <color rgb="FF156082"/>
        <rFont val="Aptos Narrow"/>
        <scheme val="minor"/>
      </rPr>
      <t>AIAS-Dev Course Uplift- Content Dev + Recording + AG Updates</t>
    </r>
  </si>
  <si>
    <t xml:space="preserve">
On Cam Recording- Half Day
AIAS-Dev Course Uplift- Content Dev + Recording + AG Updates</t>
  </si>
  <si>
    <r>
      <rPr>
        <sz val="10"/>
        <color rgb="FF000000"/>
        <rFont val="Aptos Narrow"/>
        <scheme val="minor"/>
      </rPr>
      <t xml:space="preserve">AI for SCM Course: Recording
</t>
    </r>
    <r>
      <rPr>
        <sz val="10"/>
        <color rgb="FF156082"/>
        <rFont val="Aptos Narrow"/>
        <scheme val="minor"/>
      </rPr>
      <t>AI SCM Skill Check</t>
    </r>
  </si>
  <si>
    <t>26D BOM Analysis &amp; Updates
Learning Plan Testing - MyLearn UAT</t>
  </si>
  <si>
    <t>CLS Live Session - Oct 29</t>
  </si>
  <si>
    <t>Cost Management: Remainign Recording</t>
  </si>
  <si>
    <t>Cost Management: 26C AI Agents Retrofit</t>
  </si>
  <si>
    <t>Oracle Warehouse Management System Cloud Deep Dive: DD</t>
  </si>
  <si>
    <t>Oracle Warehouse Management System Cloud Deep Dive: Content Dev</t>
  </si>
  <si>
    <t>Oracle Warehouse Management System Cloud Deep Dive: Recording</t>
  </si>
  <si>
    <t>Live Session - Dec 16</t>
  </si>
  <si>
    <t xml:space="preserve">Navigator NF
</t>
  </si>
  <si>
    <t>Recording: Cost Management Implementation (24D to 26B, AI) (Including Retrofitting 26B AI Agents Demo to 26C</t>
  </si>
  <si>
    <t>25B ERP AI Course Uplift</t>
  </si>
  <si>
    <t>Projects NFs 25D- Projects</t>
  </si>
  <si>
    <t>Projects NFs 25D &amp; Unboxing- Projects</t>
  </si>
  <si>
    <t>Oracle Fusion Cloud Financials: Payables to Cash Management Implementation [25C] (Uplift)</t>
  </si>
  <si>
    <r>
      <rPr>
        <sz val="10"/>
        <color rgb="FF000000"/>
        <rFont val="Aptos Narrow"/>
        <scheme val="minor"/>
      </rPr>
      <t xml:space="preserve">Oracle Fusion Cloud Financials: Payables to Cash Management Implementation [25C] (Uplift)
</t>
    </r>
    <r>
      <rPr>
        <b/>
        <sz val="10"/>
        <color rgb="FF000000"/>
        <rFont val="Aptos Narrow"/>
        <scheme val="minor"/>
      </rPr>
      <t>Live Session</t>
    </r>
  </si>
  <si>
    <t>Job role training; ERP: Common Features Fundamentals</t>
  </si>
  <si>
    <t>PFM Course (2 Topics Recordings)</t>
  </si>
  <si>
    <t>Accounting Hub HPE/PBT Exam Update</t>
  </si>
  <si>
    <r>
      <rPr>
        <b/>
        <sz val="10"/>
        <color rgb="FF000000"/>
        <rFont val="Aptos Narrow"/>
        <scheme val="minor"/>
      </rPr>
      <t xml:space="preserve">Live Session- Prep
</t>
    </r>
    <r>
      <rPr>
        <sz val="10"/>
        <color rgb="FF000000"/>
        <rFont val="Aptos Narrow"/>
        <scheme val="minor"/>
      </rPr>
      <t xml:space="preserve">
26A NF BOM Update</t>
    </r>
  </si>
  <si>
    <r>
      <rPr>
        <sz val="10"/>
        <color rgb="FF000000"/>
        <rFont val="Aptos Narrow"/>
        <scheme val="minor"/>
      </rPr>
      <t xml:space="preserve">26A NF BOM Update
</t>
    </r>
    <r>
      <rPr>
        <b/>
        <sz val="10"/>
        <color rgb="FF000000"/>
        <rFont val="Aptos Narrow"/>
        <scheme val="minor"/>
      </rPr>
      <t>Live Session</t>
    </r>
  </si>
  <si>
    <t>25D NFs Recording - Demos scripted by Deepak</t>
  </si>
  <si>
    <t>HPE Exams Peer Review for PM</t>
  </si>
  <si>
    <t>HPE Exam Feedback Incorporation</t>
  </si>
  <si>
    <t>Oracle Holiday - Jan 1</t>
  </si>
  <si>
    <t>IDC Holiday - Jan 15</t>
  </si>
  <si>
    <t>25B to 26A Assets Fundamentals (Impact Analysis &amp; Content Creation)</t>
  </si>
  <si>
    <t>IDC Holiday - Jan 26</t>
  </si>
  <si>
    <t>25B to 26A Assets Fundamentals (Impact Analysis &amp; Content Creation) 
AI for ERP- Review Barney's Doc
Community Questions (3 questions)</t>
  </si>
  <si>
    <t xml:space="preserve">25B to 26A Assets Fundamentals (Impact Analysis &amp; Content Creation) (3 hrs)
Project MCQ Peer Review </t>
  </si>
  <si>
    <t>Project MCQ Peer Review 
VT Testing Review for PEM &amp; Lease Accounting</t>
  </si>
  <si>
    <t>VT Testing Assets 1/2 Day 
25B to 26A Assets Fundamentals (Demo Recording)</t>
  </si>
  <si>
    <r>
      <rPr>
        <sz val="10"/>
        <color rgb="FF000000"/>
        <rFont val="Aptos Narrow"/>
        <scheme val="minor"/>
      </rPr>
      <t>25B to 26A Assets Fundamentals (Demo Recording)
Updating AG for Assets
(</t>
    </r>
    <r>
      <rPr>
        <u/>
        <sz val="10"/>
        <color rgb="FF000000"/>
        <rFont val="Aptos Narrow"/>
        <scheme val="minor"/>
      </rPr>
      <t>Lease, PEM AG on hold. FSM issue. Work done</t>
    </r>
    <r>
      <rPr>
        <sz val="10"/>
        <color rgb="FF000000"/>
        <rFont val="Aptos Narrow"/>
        <scheme val="minor"/>
      </rPr>
      <t>)</t>
    </r>
  </si>
  <si>
    <t>OOO - Feb 4-6</t>
  </si>
  <si>
    <t>AI for ERP Course (Content Creation)</t>
  </si>
  <si>
    <t>25B to 26A Assets Fundamentals (Recording)</t>
  </si>
  <si>
    <r>
      <rPr>
        <sz val="10"/>
        <color rgb="FF000000"/>
        <rFont val="Aptos Narrow"/>
        <scheme val="minor"/>
      </rPr>
      <t xml:space="preserve">25B to 26A Assets Fundamentals (Recording)
</t>
    </r>
    <r>
      <rPr>
        <b/>
        <sz val="10"/>
        <color rgb="FF000000"/>
        <rFont val="Aptos Narrow"/>
        <scheme val="minor"/>
      </rPr>
      <t>RE&amp;F AI Session (Prep &amp; Session) (Half-Day)</t>
    </r>
  </si>
  <si>
    <t>Assets Funadamentals (ID Feedback incorporation- Rerecording Content)(Feedback on Infodev PPTs)</t>
  </si>
  <si>
    <t>25B to 26A Lease Accounting (Impact Analysis &amp; Content Creation)</t>
  </si>
  <si>
    <t>OOO - Mar 4</t>
  </si>
  <si>
    <t>25B to 26A Lease Accounting Course Recording</t>
  </si>
  <si>
    <t>OOO - Mar 6</t>
  </si>
  <si>
    <t>Payables 26A NF Base Exam Partial Uplift - Day 3 - Peer Review</t>
  </si>
  <si>
    <t>26B BOM Activity</t>
  </si>
  <si>
    <t>AI for ERP Course Recording</t>
  </si>
  <si>
    <t>IDC Holiday - Mar 19</t>
  </si>
  <si>
    <t>Live Session - Mar 24 - Topic</t>
  </si>
  <si>
    <t>25C to 26A Project Execution Mgmt Course Content Creation</t>
  </si>
  <si>
    <t>2026 Delta Exam: Projects Peer Review</t>
  </si>
  <si>
    <t>MH Escalation VT Testing- Financials Reporting</t>
  </si>
  <si>
    <t>VT for Tax Mnagement</t>
  </si>
  <si>
    <t>26BNF Content Dev + Recording
Course Impact Analysis Skill Check Request (Half Day)</t>
  </si>
  <si>
    <t>Financials Unboxing Video</t>
  </si>
  <si>
    <t>Project Execution Mgmt Course Design Document Creation (26B NFs, RW &amp; AI)</t>
  </si>
  <si>
    <t>Project Execution Mgmt Course Design Document Review Fixes (26B NFs, RW &amp; AI)</t>
  </si>
  <si>
    <t>26B Project Execution Mgmt Course Design Content Creation</t>
  </si>
  <si>
    <t>Lease Accounting Course Design Document Creation (26B NFs, Revenue Leases New 6 Chapters)</t>
  </si>
  <si>
    <t>25C to 26B Project Execution Mgmt Course Recording</t>
  </si>
  <si>
    <t>Live Session - May 14
PREP DAY</t>
  </si>
  <si>
    <t>Live Session - May 14</t>
  </si>
  <si>
    <t>Lease Accounting Course Content Creation (26B NFs, Revenue Leases New 6 Chapters)</t>
  </si>
  <si>
    <t>Lease Accounting Course Content Creation (26B NFs, Revenue Leases 6 Chapters)</t>
  </si>
  <si>
    <t>Oracle Holiday - May 28</t>
  </si>
  <si>
    <t>Lease Accounting Course Content Creation (26B NFs, Revenue Leases 6 Chapters)
Re-Record- Navigator - Prepare source line from projects  (Half Day)</t>
  </si>
  <si>
    <t>Lease Accounting Course Content Creation (26B NFs, Revenue Leases 6 Chapters) (Half Day)
Round 3: MyLearn AI Testing in PROD (Half Day)</t>
  </si>
  <si>
    <t>Lease Accounting AG Content Dev - 19 Demos (New and Update existing), 6 new labs to write, and 2 uplifts</t>
  </si>
  <si>
    <t>Lease Accounting AG &amp; Demos Recording</t>
  </si>
  <si>
    <t>26C NFs</t>
  </si>
  <si>
    <t>26C NFs (AI Agents)</t>
  </si>
  <si>
    <t>26C NFs (2NFs not working earlier)</t>
  </si>
  <si>
    <t>Unboxing Conent Dev</t>
  </si>
  <si>
    <r>
      <rPr>
        <sz val="10"/>
        <color rgb="FF000000"/>
        <rFont val="Aptos Narrow"/>
        <scheme val="minor"/>
      </rPr>
      <t xml:space="preserve">Agentic Apps Partner Training - Testing of Hand on Labs (COE Work) </t>
    </r>
    <r>
      <rPr>
        <sz val="10"/>
        <color rgb="FF275317"/>
        <rFont val="Aptos Narrow"/>
        <scheme val="minor"/>
      </rPr>
      <t>+ 26C NFs Unboxing Recording</t>
    </r>
  </si>
  <si>
    <t>LIVE SESSION PREP</t>
  </si>
  <si>
    <t>LIVE SESSION</t>
  </si>
  <si>
    <t>Agentic Apps Partner Training - Testing of Hand on Labs (COE Work)</t>
  </si>
  <si>
    <t>ERP Process Essentials Gap Analysis</t>
  </si>
  <si>
    <t>26C Assets Management Implementation - create DD, finalize scope, demo feasibility and environment dependencies</t>
  </si>
  <si>
    <t>26C AI Agents Foundation create DD, finalize scope, demo feasibility and environment dependencies</t>
  </si>
  <si>
    <t>Oracle AI in Fusion Cloud Enterprise Resource Planning (ERP): DD</t>
  </si>
  <si>
    <t>26C AI Agents Foundation: Content Dev</t>
  </si>
  <si>
    <t>26C AI Agents Foundation: Content Dev- Review Feedback Fix</t>
  </si>
  <si>
    <t>AI 1 Day In Person Workshop - Oracle AI Customer Excellence Center</t>
  </si>
  <si>
    <t>Oracle AI in Fusion Cloud Enterprise Resource Planning (ERP): Content Dev</t>
  </si>
  <si>
    <t>26C AI Agents Foundation: Recording Demo's</t>
  </si>
  <si>
    <t>26C AI Agents Foundation: Recording</t>
  </si>
  <si>
    <t>26C AI Agents Foundation: Recording
On cam Recording (Half Day)</t>
  </si>
  <si>
    <r>
      <rPr>
        <sz val="10"/>
        <color rgb="FF000000"/>
        <rFont val="Aptos Narrow"/>
        <scheme val="minor"/>
      </rPr>
      <t xml:space="preserve">26C AI Agents Foundation: Recording
</t>
    </r>
    <r>
      <rPr>
        <sz val="10"/>
        <color rgb="FFA02B93"/>
        <rFont val="Aptos Narrow"/>
        <scheme val="minor"/>
      </rPr>
      <t>26D NFs BOM Analysis</t>
    </r>
  </si>
  <si>
    <t>Pending VT Requests</t>
  </si>
  <si>
    <t>Oracle AI in Fusion Cloud Enterprise Resource Planning (ERP): Record</t>
  </si>
  <si>
    <t>AI Agent Studio Foundations Associate – Rel 1 (1Z0-1145-1) exam : BP Creation</t>
  </si>
  <si>
    <t>AI Agent Studio Foundations Associate – Rel 1 (1Z0-1145-1) exam : HC, Candidate, Previous Exams Item Review and Mapping to BP</t>
  </si>
  <si>
    <t>AI Agent Studio Foundations Associate – Rel 1 (1Z0-1145-1) exam : Item Creation</t>
  </si>
  <si>
    <r>
      <rPr>
        <sz val="10"/>
        <color rgb="FF000000"/>
        <rFont val="Aptos Narrow"/>
        <scheme val="minor"/>
      </rPr>
      <t xml:space="preserve">26D NFs Enivronment Assessment
</t>
    </r>
    <r>
      <rPr>
        <b/>
        <sz val="10"/>
        <color rgb="FF275317"/>
        <rFont val="Aptos Narrow"/>
        <scheme val="minor"/>
      </rPr>
      <t xml:space="preserve">AIAS Foundations Skill Check </t>
    </r>
  </si>
  <si>
    <t>26D NFs- BOM Review</t>
  </si>
  <si>
    <t>AI Agent Studio Foundations Associate – Rel 1 (1Z0-1145-1) exam: Feedback Fixes</t>
  </si>
  <si>
    <t>Assets Fundamentals: DD</t>
  </si>
  <si>
    <t>Live Session - Nov 24</t>
  </si>
  <si>
    <t>Oracle Holiday Christmas Day</t>
  </si>
  <si>
    <t>Oracle Winter Break</t>
  </si>
  <si>
    <t>Oracle Holiday NY Day</t>
  </si>
  <si>
    <t>Oracle Fusion Cloud Project Management: Project Financial Management  (Full Record) 25B</t>
  </si>
  <si>
    <t>25D New Features Projects - 6 NFs PPTs &amp; Script Demos</t>
  </si>
  <si>
    <r>
      <rPr>
        <sz val="10"/>
        <color rgb="FF000000"/>
        <rFont val="Aptos Narrow"/>
      </rPr>
      <t xml:space="preserve">25D New Features Projects - 6 NFs PPTs &amp; Script Demos
</t>
    </r>
    <r>
      <rPr>
        <b/>
        <sz val="10"/>
        <color rgb="FF000000"/>
        <rFont val="Aptos Narrow"/>
      </rPr>
      <t xml:space="preserve">
Live Session</t>
    </r>
  </si>
  <si>
    <t>Project Mgmt HPE/PBT Exam Update</t>
  </si>
  <si>
    <r>
      <rPr>
        <strike/>
        <sz val="10"/>
        <color rgb="FF000000"/>
        <rFont val="Aptos Narrow"/>
        <scheme val="minor"/>
      </rPr>
      <t xml:space="preserve">Live Session - Jan - 15 Manage Project Budgets
</t>
    </r>
    <r>
      <rPr>
        <sz val="10"/>
        <color rgb="FF000000"/>
        <rFont val="Aptos Narrow"/>
        <scheme val="minor"/>
      </rPr>
      <t xml:space="preserve">
26A NFs</t>
    </r>
  </si>
  <si>
    <t>25C to 26A Project Costing Essentials (Impact Analysis &amp; Content Creation)</t>
  </si>
  <si>
    <t>Projects 26A NF Base Exam Partial Uplift - Day 1</t>
  </si>
  <si>
    <t>Accounting Hub 2026 Base Exam Full Uplift - Day 1</t>
  </si>
  <si>
    <t>Accounting Hub 2026 Base Exam Full Uplift - Day 2</t>
  </si>
  <si>
    <t>Projects 26A NF Base Exam Partial Uplift - Day 2 Peer Review Fixes</t>
  </si>
  <si>
    <t>Accounting Hub 2026 Base Exam Full Uplift - Day 3</t>
  </si>
  <si>
    <t>Accounting Hub 2026 Base Exam Full Uplift - Day 4</t>
  </si>
  <si>
    <t>Project Financial Mgmt 26A Curriculum Review</t>
  </si>
  <si>
    <t>25C to 26A Project Costing Essentials - Recording Practices Only (Partial Recording)</t>
  </si>
  <si>
    <t>Live Session - Feb 11 - Manage Project Programs and Reports</t>
  </si>
  <si>
    <t>25C to 26A Project Costing Essentials - Recording Lessons (Partial Recording)</t>
  </si>
  <si>
    <t>Live Session - Feb 19 - Manage Project Budgets</t>
  </si>
  <si>
    <t>IDC Holiday - Mar 4</t>
  </si>
  <si>
    <t>PFM Infodev Review</t>
  </si>
  <si>
    <t>2026 Delta Exam: Accounting Hub Day 1</t>
  </si>
  <si>
    <t>2027 Delta Exam: Accounting Hub Day 2</t>
  </si>
  <si>
    <t>2028 Delta Exam: Accounting Hub Day 3</t>
  </si>
  <si>
    <t>Live Session - Mar 18 - Milestone Billing and Revenue Recognition</t>
  </si>
  <si>
    <t>2029 Delta Exam: Accounting Hub Day 4</t>
  </si>
  <si>
    <t>2026 Delta Exam: Projects Day 1</t>
  </si>
  <si>
    <t>2026 Delta Exam: Projects Day 2</t>
  </si>
  <si>
    <t>2029 Delta Exam: AHC Day 5 Peer Review and References</t>
  </si>
  <si>
    <t>2026 Delta Exam: Projects Day 3</t>
  </si>
  <si>
    <t>2026 Delta Exam: Projects Day 4</t>
  </si>
  <si>
    <t>Unboxing Video Pilot</t>
  </si>
  <si>
    <t>2026 Delta Exam: Projects Day 5 Review Fixes &amp; References</t>
  </si>
  <si>
    <t>Live Session - April 23 - Distribute Payroll Costs using Time Cards</t>
  </si>
  <si>
    <t>26A - 26B Project Financial Mgmt Design Doc Incl. AI Features for 25A-D</t>
  </si>
  <si>
    <t>26A - 26B Project Financial Mgmt Course Content Dev</t>
  </si>
  <si>
    <t>Project Costing Essentials Uplift - Design Doc including 26B, AI Features</t>
  </si>
  <si>
    <t>Project Costing Essentials Uplift - Design Doc Review Fixes (26B, AI Features)</t>
  </si>
  <si>
    <t>Project Costing Essentials Uplift - Content Creation including 26B, AI Features</t>
  </si>
  <si>
    <t>PFM Course Demos</t>
  </si>
  <si>
    <t>26A - 26B Project Financial Mgmt Course Recording</t>
  </si>
  <si>
    <t>PFM Demos</t>
  </si>
  <si>
    <t>Live Session - May 20</t>
  </si>
  <si>
    <t>Oracle Holiday - May 27</t>
  </si>
  <si>
    <t>Project Costing Essentials Uplift - Recording ncluding 26B, AI Features</t>
  </si>
  <si>
    <t>ERP Process Essentials Uplift - Gap Analysis</t>
  </si>
  <si>
    <t>26B Accounting Hub Course Content Creation</t>
  </si>
  <si>
    <t>Live Session - June 16</t>
  </si>
  <si>
    <t>ERP Process Essentials OMBPs Gap Analysis</t>
  </si>
  <si>
    <t>26B Accounting Hub Course Recording</t>
  </si>
  <si>
    <t>26B Accounting Hub Event Model Major Change - Content Creation</t>
  </si>
  <si>
    <t>Live Session - July 2</t>
  </si>
  <si>
    <t>Navigator 26C July Release Work - 1 Use Case</t>
  </si>
  <si>
    <t>Grants AG VT Updates</t>
  </si>
  <si>
    <t>26B Accounting Hub Event Model Major Change - Recording</t>
  </si>
  <si>
    <t>26C Project Costing Essentials - create DD, finalize scope, demo feasibility and environment dependencies</t>
  </si>
  <si>
    <t>Partner Session Delivery</t>
  </si>
  <si>
    <t>AI for ERP Course Design Document</t>
  </si>
  <si>
    <t>AI for ERP Course Content Creation</t>
  </si>
  <si>
    <t>Oracle Delhi Holiday - Aug 28</t>
  </si>
  <si>
    <t>Oracle Delhi Holiday - Sep 4</t>
  </si>
  <si>
    <t>AI for ERP Course Demos</t>
  </si>
  <si>
    <t>CLS Live Session - Sep 9</t>
  </si>
  <si>
    <t>Navigator 26C Aug Release - 5 Use Cases - 3 Days</t>
  </si>
  <si>
    <t>AI for ERP Course - Create Content for Labs</t>
  </si>
  <si>
    <t>AI for ERP Course - Review and Finalize Skills Assessment</t>
  </si>
  <si>
    <t>AI for ERP Course - Slides &amp; Narration Rework</t>
  </si>
  <si>
    <t>26C Project Costing Essentials -content development (PPT+AG+T2S Script)</t>
  </si>
  <si>
    <t>Del Holiday- Dussera</t>
  </si>
  <si>
    <t>CLS Live Session - Oct 20</t>
  </si>
  <si>
    <t>26C Four Pending Agents/NFs Pending for D02 Pod - Demo Dependent on Environment Feasibility</t>
  </si>
  <si>
    <t>Live Session - Nov 17</t>
  </si>
  <si>
    <t>Del Holiday</t>
  </si>
  <si>
    <t>Applied Learning: Payables Uplift</t>
  </si>
  <si>
    <t xml:space="preserve">Live Session </t>
  </si>
  <si>
    <t>25D NFs
2 hrs Research on Descriptive Flexfields Query from Live Session</t>
  </si>
  <si>
    <t>Oracle Fusion Cloud Financials: Using Payables 25C (Uplift)</t>
  </si>
  <si>
    <t>Oracle Fusion Cloud Financials: Financials Overview 25C (Uplift)</t>
  </si>
  <si>
    <t>Payables HPE/PBT Exam Update</t>
  </si>
  <si>
    <t>Dynamic Discounting Retirement Review on CLS Courses</t>
  </si>
  <si>
    <t>PPT Creation for NFs</t>
  </si>
  <si>
    <t>OUCM Environment Testing</t>
  </si>
  <si>
    <t>25D Using Payables Uplift Detla Analysis on Course</t>
  </si>
  <si>
    <t>26A Parallel Approval Upskill and Review</t>
  </si>
  <si>
    <t>Oracle Holiday - Jan 19</t>
  </si>
  <si>
    <t>25D Using Payables Uplift</t>
  </si>
  <si>
    <t>Live Session - Jan 22 - Overview of Invoice Routing for Account Coding</t>
  </si>
  <si>
    <t>AI Assit MyLearn Testing</t>
  </si>
  <si>
    <t>25C to 26A Financial Overview Uplift (Impact Analysis &amp; Content Creation)</t>
  </si>
  <si>
    <t>Research &amp; Impact Analysis for Payables Agent</t>
  </si>
  <si>
    <t>OOO - Feb 9-19</t>
  </si>
  <si>
    <t>Oracle US Holiday - Feb 16</t>
  </si>
  <si>
    <t>Catchup on Projects
Payables Exam Review Feedback from Mahira</t>
  </si>
  <si>
    <t>Payables 26A NF Base Exam Partial Uplift - Day 1</t>
  </si>
  <si>
    <t>Payables 26A NF Base Exam Partial Uplift - Day 2 EM Review with CDL</t>
  </si>
  <si>
    <t>2026 Delta Exam: Payables Day 1</t>
  </si>
  <si>
    <t>2027 Delta Exam: Payables Day 2</t>
  </si>
  <si>
    <t>2028 Delta Exam: Payables Day 3</t>
  </si>
  <si>
    <t>2029 Delta Exam: Payables Day 4</t>
  </si>
  <si>
    <t>LLM Training: Anthropic Courses</t>
  </si>
  <si>
    <t>Payables 26A NF Base Exam Partial Uplift - Day 4 (Peer Review Fixes)</t>
  </si>
  <si>
    <t>2029 Delta Exam: Payables Day 5 Peer Review and References</t>
  </si>
  <si>
    <t>ERP Process Essentials Course Evaluation/ Gap Analysis</t>
  </si>
  <si>
    <t>Review of AP Implementation/Using AP/Expenses Courses with Curriculum</t>
  </si>
  <si>
    <t>26A Payables Implementation Infodev Course Handoff Uplift</t>
  </si>
  <si>
    <t>26A Expenses Fundamentals Infodev Course Handoff Uplift</t>
  </si>
  <si>
    <t xml:space="preserve">Live Session - April 14 - </t>
  </si>
  <si>
    <t>Unboxing Video for Self Service Financials</t>
  </si>
  <si>
    <t>Fin Overview Course Design Document Creation (NFs, RW &amp; AI)</t>
  </si>
  <si>
    <t>Fin Overview Course Design Document Review Fixes (NFs, RW &amp; AI)</t>
  </si>
  <si>
    <t>Fin Overview Course Content Creation (NFs, RW &amp; AI)</t>
  </si>
  <si>
    <t>VT Testing for Applied Learning Payables</t>
  </si>
  <si>
    <t>Fin Overview Course Uplift Recording (NFs, RW &amp; AI)</t>
  </si>
  <si>
    <t>AI Assist MyLearn Testing 
Fin Overview Course Uplift Recording (NFs, RW &amp; AI)</t>
  </si>
  <si>
    <t>Ai Agent Studio Upskill</t>
  </si>
  <si>
    <t>3 NF on D02 Pod Dependency</t>
  </si>
  <si>
    <t>AI Assist Testing &amp; Curriculum Audit</t>
  </si>
  <si>
    <t>OOO Jun 22-26</t>
  </si>
  <si>
    <t>1 NF on D02 Pod Dependency</t>
  </si>
  <si>
    <t>Live Session - June 30</t>
  </si>
  <si>
    <t>Compliance Training
Portfolio Review for Timelines</t>
  </si>
  <si>
    <t>Compliance Training
Unboxing Conent Dev</t>
  </si>
  <si>
    <t>Financials Overview VT Testing</t>
  </si>
  <si>
    <t>26C Payables Implementation - create DD, finalize scope, demo feasibility and environment dependencies</t>
  </si>
  <si>
    <t>Live Session - Aug 4</t>
  </si>
  <si>
    <t>26C Payables Implementation -content development (PPT+AG+T2S Script)</t>
  </si>
  <si>
    <r>
      <rPr>
        <strike/>
        <sz val="10"/>
        <color rgb="FF000000"/>
        <rFont val="Aptos Narrow"/>
        <scheme val="minor"/>
      </rPr>
      <t xml:space="preserve">26C Payables Imp -content dev (PPT+AG+T2S Script)
</t>
    </r>
    <r>
      <rPr>
        <sz val="10"/>
        <color rgb="FF000000"/>
        <rFont val="Aptos Narrow"/>
        <scheme val="minor"/>
      </rPr>
      <t>AI for ERP Content Creation Edits from Review</t>
    </r>
  </si>
  <si>
    <t>MyLearn UAT Testing 1/2 Day
26C Payables Implementation -content development (PPT+AG+T2S Script)</t>
  </si>
  <si>
    <t>AI for ERP Course Labs Content Scoping</t>
  </si>
  <si>
    <r>
      <rPr>
        <sz val="10"/>
        <color rgb="FF000000"/>
        <rFont val="Aptos Narrow"/>
        <scheme val="minor"/>
      </rPr>
      <t xml:space="preserve">AI for ERP Full Course - </t>
    </r>
    <r>
      <rPr>
        <b/>
        <sz val="10"/>
        <color rgb="FF000000"/>
        <rFont val="Aptos Narrow"/>
        <scheme val="minor"/>
      </rPr>
      <t>SME Review</t>
    </r>
  </si>
  <si>
    <t>AI for ERP Course On Camera Intro Recording</t>
  </si>
  <si>
    <t>AI for ERP Course - Create Content for Lab</t>
  </si>
  <si>
    <t>AI for ERP Course: Recording</t>
  </si>
  <si>
    <t>AIW Content Build/Update</t>
  </si>
  <si>
    <t>CLS Live Session - Nov 3</t>
  </si>
  <si>
    <t>26C Expenses - create DD, finalize scope, demo feasibility and environment dependencies</t>
  </si>
  <si>
    <t>Live Session - Dec 15</t>
  </si>
  <si>
    <t>Chris</t>
  </si>
  <si>
    <t>Infodev 26A - Oracle Fusion Cloud Financials: Advanced Tax Implementation (Full Record)</t>
  </si>
  <si>
    <t>Accounting Hub NF for 25D</t>
  </si>
  <si>
    <t>Oracle Fusion Cloud Financials: General Ledger Implementation Professional 25C (Uplift)</t>
  </si>
  <si>
    <t>Oracle Fusion Cloud ERP: Common Features Fundamentals (Content Gap Analysis)</t>
  </si>
  <si>
    <t>Expenses 25D NFs</t>
  </si>
  <si>
    <t>Applied Learning: Payables Uplift Review - Skip the Uplift till 26A</t>
  </si>
  <si>
    <t>GL HPE/PBT Exam Update</t>
  </si>
  <si>
    <t>26A NF BOM Update
GL HPE/PBT Exam Update</t>
  </si>
  <si>
    <t>Certification Feedback Review
Impact Analysis on NFs</t>
  </si>
  <si>
    <t>Certification Feedback Review
26A NFs</t>
  </si>
  <si>
    <t>Live Session - Jan 13 - Define Accounting Flexfield Based Journal Approval Rules</t>
  </si>
  <si>
    <t>Research &amp; Testing AI Powered Homepage Course</t>
  </si>
  <si>
    <t>Design Document Creation AI Powered Homepage Course</t>
  </si>
  <si>
    <t>25D Common Features Uplift Partial (Skip)</t>
  </si>
  <si>
    <t>FSM Interface UI change Research &amp; Content</t>
  </si>
  <si>
    <t>Design Document Creation AI Powered Homepage Course - Fixes &amp; Address Changes</t>
  </si>
  <si>
    <t>AI Powered Homepage Course - Content Development</t>
  </si>
  <si>
    <t>VT Testing Assets 1/2 Day 
AI Powered Homepage Course - DD Edits Per Vidya's Feedback</t>
  </si>
  <si>
    <t>AI Powered Homepage Course - DD Edits Per Vidya's Feedback/Update Content with new DD</t>
  </si>
  <si>
    <t>FSM Interface UI change Design Doc/Content Development</t>
  </si>
  <si>
    <t>FSM Interface UI change Design Doc/Content Development - DD Submission</t>
  </si>
  <si>
    <t>FSM Interface UI change Design Doc Review Fixes</t>
  </si>
  <si>
    <t>FSM Interface UI change Content Development</t>
  </si>
  <si>
    <t>Budgetary Control VT Testing 
25D GL Implementation Uplift - Re-Recording all Practices</t>
  </si>
  <si>
    <t>25D GL Implementation Uplift - Re-Recording all Practices</t>
  </si>
  <si>
    <t>AI Powered Homepage Course - Recording</t>
  </si>
  <si>
    <t>Live Session - Feb 19 - GL Coaching Session</t>
  </si>
  <si>
    <t>FSM Interface UI Change - Polish the Slides &amp; Submit for Graphics</t>
  </si>
  <si>
    <t>FSM Interface UI Change - Finalize the Demo</t>
  </si>
  <si>
    <t>GL Exam Review for Poor Performing Questions</t>
  </si>
  <si>
    <t>FSM Interface UI Change Recording</t>
  </si>
  <si>
    <t>26A GL Implementation Infodev Course Handoff Uplift</t>
  </si>
  <si>
    <t>26A Using GL Infodev Course Handoff Uplift</t>
  </si>
  <si>
    <t>Followup on Security Console Question</t>
  </si>
  <si>
    <t>OOO Mar 30- Apr 10</t>
  </si>
  <si>
    <t>Oracle UK Holiday - Apri 6</t>
  </si>
  <si>
    <t>Common Features Course DD</t>
  </si>
  <si>
    <t>Common Features Course Uplift - Content Creation</t>
  </si>
  <si>
    <t>Live Session - April 21 - Home with Ask Oracle</t>
  </si>
  <si>
    <t>2026 Delta Exam: GL Day 1</t>
  </si>
  <si>
    <t>2026 Delta Exam: GL Day 2</t>
  </si>
  <si>
    <t>2026 Delta Exam: GL Day 3</t>
  </si>
  <si>
    <t>Oracle UK Holiday - May 4</t>
  </si>
  <si>
    <t>2026 Delta Exam: GL Day 4</t>
  </si>
  <si>
    <t>2026 Delta Exam: GL Day 5 Review Fixes &amp; References</t>
  </si>
  <si>
    <t>Power Cut
AI Demo Recording for Priya</t>
  </si>
  <si>
    <t>Common Features AG Content Development</t>
  </si>
  <si>
    <t>Oracle UK Holiday - May 25</t>
  </si>
  <si>
    <t>Common Features Course Uplift - Recording</t>
  </si>
  <si>
    <t>Common Features Course Recording Halted due to Graphics - CDL Scripting</t>
  </si>
  <si>
    <t>Common Features Course Recording</t>
  </si>
  <si>
    <t>Live Session - July 9</t>
  </si>
  <si>
    <t>Curriculum Audit FY27 Redo</t>
  </si>
  <si>
    <t>Common Features Course Recording/Skill Checks</t>
  </si>
  <si>
    <t>2 NF on D02 Pod Dependency 26B - Ledger Agent &amp; Budgetary Control Agent</t>
  </si>
  <si>
    <t>26C GL Implementation - create DD, finalize scope, demo feasibility and environment dependencies</t>
  </si>
  <si>
    <t xml:space="preserve">AI Agent Studio Workshop Prep - Took Prerequisite Learning Courses </t>
  </si>
  <si>
    <t>AI Agent Studio - Agentic Apps Workshop Reading UK</t>
  </si>
  <si>
    <t>Oracle UK Holiday - Aug 31</t>
  </si>
  <si>
    <t>AI for ERP Course Content Creation - Demos</t>
  </si>
  <si>
    <t>MyLearn UAT Testing 1/2 Day
AI for ERP Course Content Creation - Demos</t>
  </si>
  <si>
    <t>OOO Sep 7-18</t>
  </si>
  <si>
    <t>AI for ERP Course Ledger Agent Demo</t>
  </si>
  <si>
    <t>CLS Live Session - Sep 24</t>
  </si>
  <si>
    <t>AI for ERP Course - Review and Finalize Skills Assessment
Ai for ERP Course - Lab</t>
  </si>
  <si>
    <t>AI for ERP Course: Recording 26D Env for Agentic App Recording</t>
  </si>
  <si>
    <t>Live Session - Nov 10</t>
  </si>
  <si>
    <t>OOO Nov 25 - Dec 1</t>
  </si>
  <si>
    <t>AI for ERP Course Uplift</t>
  </si>
  <si>
    <t>OOO Jury Duty</t>
  </si>
  <si>
    <t>OGC Prompt</t>
  </si>
  <si>
    <t>Oracle Fusion Cloud Financials:  Cash Management 25C (Uplift)</t>
  </si>
  <si>
    <t>Cash Management 25C (Skills Checks)
AI Agent Studio Uplift Prep</t>
  </si>
  <si>
    <t>OGC Prompt Changes &amp; Refinement</t>
  </si>
  <si>
    <t>Implementation Skills Migration Course</t>
  </si>
  <si>
    <t>CPS Customer Event Delivery</t>
  </si>
  <si>
    <t>Live Session - Jan - 15 Inside the AI Agent Studio: Live</t>
  </si>
  <si>
    <t>Common Technologies 26A NFs</t>
  </si>
  <si>
    <t>Financial Reporting 25D Uplift</t>
  </si>
  <si>
    <t>Gap Analysis: AI for ERP Course</t>
  </si>
  <si>
    <t>AI Agent Workflows Training RWS</t>
  </si>
  <si>
    <t>AI Agent Workflows - Impact Analysis for AI Agent Developer Course</t>
  </si>
  <si>
    <t>AI Agent Workflows - AI Agent Developer Course DD</t>
  </si>
  <si>
    <t>AI Agent Workflows - AI Agent Developer - Research, Testing Demo Capability, Finalizing DD</t>
  </si>
  <si>
    <t>AI Agent Studio Developer Course - Content Creation</t>
  </si>
  <si>
    <t>AI Agent Workflows - AI Agent Developer Demo Recording</t>
  </si>
  <si>
    <t xml:space="preserve">AI Agent Workflows - AI Agent Developer Hands on Labs Recording </t>
  </si>
  <si>
    <t>AI for ERP Course (Impact/Gap Analysis)</t>
  </si>
  <si>
    <t>Live Session - Mar 19 - Inside the AI Agent Studio: Live</t>
  </si>
  <si>
    <t>AIAS Developer Course 2 Practices that were failing due to artifacts fixes</t>
  </si>
  <si>
    <t>AIAS Developer Poor Performing Questions Review ERP</t>
  </si>
  <si>
    <t>AI for ERP Course Content Development</t>
  </si>
  <si>
    <t>AIAS Developer Course 2 Practices Recrecording</t>
  </si>
  <si>
    <t>VT Testing JVM - Fixing AG</t>
  </si>
  <si>
    <t>JVM AG Testing/Rewrite of new Practices</t>
  </si>
  <si>
    <t>Fin Reporting AG VT Testing Feedback</t>
  </si>
  <si>
    <t>VT Testing for Financial Reporting Course</t>
  </si>
  <si>
    <t>Financial Reporting Course Gap Analysis &amp; Design Doc Creation</t>
  </si>
  <si>
    <t>Financial Reporting Course Gap Analysis &amp; Design Doc Review Fixes</t>
  </si>
  <si>
    <t>JVM VT Testing on AG</t>
  </si>
  <si>
    <t>VT Testing Reporting/JVM</t>
  </si>
  <si>
    <t>Community Questions on Ai Agent Studio</t>
  </si>
  <si>
    <t xml:space="preserve">Financial Reporting Course Content Creation PPT </t>
  </si>
  <si>
    <t>JVM AG Content Update/Record</t>
  </si>
  <si>
    <t>OOO June 23</t>
  </si>
  <si>
    <t>Cloud Applications Curriculum Audit - FY27 Redo</t>
  </si>
  <si>
    <t>OOO Jun 30-Jul 2</t>
  </si>
  <si>
    <t>OOO Jul 13-17</t>
  </si>
  <si>
    <t>26C NFs JVM Feature dependent on PM data seeding</t>
  </si>
  <si>
    <t>Financial Reporting Content Recording</t>
  </si>
  <si>
    <t>26C FIN Reporting- create DD, finalize scope, per Portfolio</t>
  </si>
  <si>
    <t>26C FIN Reporting-  Content Development (PPT T2S +AG)</t>
  </si>
  <si>
    <r>
      <rPr>
        <strike/>
        <sz val="10"/>
        <color rgb="FF000000"/>
        <rFont val="Aptos Narrow"/>
        <scheme val="minor"/>
      </rPr>
      <t xml:space="preserve">AIAS Developer Course Content Dev &amp; Testing
</t>
    </r>
    <r>
      <rPr>
        <sz val="10"/>
        <color rgb="FF000000"/>
        <rFont val="Aptos Narrow"/>
        <scheme val="minor"/>
      </rPr>
      <t>AI for ERP Course Incorportating Review Feedback</t>
    </r>
  </si>
  <si>
    <r>
      <rPr>
        <strike/>
        <sz val="10"/>
        <color rgb="FF000000"/>
        <rFont val="Aptos Narrow"/>
        <scheme val="minor"/>
      </rPr>
      <t xml:space="preserve">AIAS Developer Course Content Dev &amp; Testing
</t>
    </r>
    <r>
      <rPr>
        <sz val="10"/>
        <color rgb="FF000000"/>
        <rFont val="Aptos Narrow"/>
        <scheme val="minor"/>
      </rPr>
      <t xml:space="preserve">
AI for ERP Course - Testing Demos</t>
    </r>
  </si>
  <si>
    <r>
      <rPr>
        <strike/>
        <sz val="10"/>
        <color rgb="FF000000"/>
        <rFont val="Aptos Narrow"/>
        <scheme val="minor"/>
      </rPr>
      <t xml:space="preserve">AIAS Developer Course Labs for ERP Agents - Supporting Barney
</t>
    </r>
    <r>
      <rPr>
        <sz val="10"/>
        <color rgb="FF000000"/>
        <rFont val="Aptos Narrow"/>
        <scheme val="minor"/>
      </rPr>
      <t>Ai for ERP Course Content Dev for Pankaj's Topics</t>
    </r>
  </si>
  <si>
    <r>
      <rPr>
        <strike/>
        <sz val="10"/>
        <color rgb="FF000000"/>
        <rFont val="Aptos Narrow"/>
        <scheme val="minor"/>
      </rPr>
      <t xml:space="preserve">26C FIN Reporting-  Content Development (PPT T2S +AG)
</t>
    </r>
    <r>
      <rPr>
        <sz val="10"/>
        <color rgb="FF000000"/>
        <rFont val="Aptos Narrow"/>
        <scheme val="minor"/>
      </rPr>
      <t>Ai for ERP Course Content Dev for Pankaj's Topics</t>
    </r>
  </si>
  <si>
    <r>
      <rPr>
        <strike/>
        <sz val="10"/>
        <color rgb="FF000000"/>
        <rFont val="Aptos Narrow"/>
        <scheme val="minor"/>
      </rPr>
      <t xml:space="preserve">26C FIN Reporting-  Content Development (PPT T2S +AG)
</t>
    </r>
    <r>
      <rPr>
        <sz val="10"/>
        <color rgb="FF000000"/>
        <rFont val="Aptos Narrow"/>
        <scheme val="minor"/>
      </rPr>
      <t>Ai for ERP Course Content Dev for Pankaj's Topics</t>
    </r>
  </si>
  <si>
    <t>AI for ERP Course Content Dev for Pankaj's Topics</t>
  </si>
  <si>
    <t>CLS Live Session - Oct 7</t>
  </si>
  <si>
    <t>26C JVM - create DD, finalize scope, demo feasibility and environment dependencies</t>
  </si>
  <si>
    <t>Live Session - Dec 2</t>
  </si>
  <si>
    <t>Revenue Mgmt Exam Update</t>
  </si>
  <si>
    <t>GL Exam Update</t>
  </si>
  <si>
    <t>GL HPE/PBT Exam Peer Review</t>
  </si>
  <si>
    <t>Receivables HPE/PBT Exam Update</t>
  </si>
  <si>
    <t>HPE Exams Peer Review for AH</t>
  </si>
  <si>
    <t>Accounting Hub HPE/PBT Exam Peer Review</t>
  </si>
  <si>
    <t>Receivables HPE/PBT Exam Peer Review</t>
  </si>
  <si>
    <r>
      <rPr>
        <strike/>
        <sz val="10"/>
        <color rgb="FF000000"/>
        <rFont val="Aptos Narrow"/>
        <scheme val="minor"/>
      </rPr>
      <t xml:space="preserve">
</t>
    </r>
    <r>
      <rPr>
        <sz val="10"/>
        <color rgb="FF000000"/>
        <rFont val="Aptos Narrow"/>
        <scheme val="minor"/>
      </rPr>
      <t>W-0 Impact Analysis</t>
    </r>
  </si>
  <si>
    <t>Gap Analysis: AI for Cloud Apps</t>
  </si>
  <si>
    <t>Gap Analysis: AI for ERP</t>
  </si>
  <si>
    <t>Gap Analysis: AI Agent Foundations Course</t>
  </si>
  <si>
    <t>Gap Analysis: AI Agent Developer Course</t>
  </si>
  <si>
    <t>Accounting Hub 2026 Base Exam Full Uplift - Peer Review</t>
  </si>
  <si>
    <t>AI Agent Workflows - AI Agent Developer Course - Content Development</t>
  </si>
  <si>
    <t>Revenue Mgmt 2026 Base Exam Full Uplift - Peer Review</t>
  </si>
  <si>
    <t>Receivables 26A NF Base Exam Partial Uplift - Day 3 -Peer Review</t>
  </si>
  <si>
    <t>2026 Delta Exam: Payables Peer Review</t>
  </si>
  <si>
    <t>2026 Delta Exam: AHC Peer Review</t>
  </si>
  <si>
    <t>OOO Mar 30 - Apr 3</t>
  </si>
  <si>
    <t>2026 Delta Exam: GL Peer Review</t>
  </si>
  <si>
    <t>2026 Delta Exam: AR Peer Review</t>
  </si>
  <si>
    <t>2026 Delta Exam: Rev Mgmt Peer Review</t>
  </si>
  <si>
    <t>Revenue Mgmt AG Recording</t>
  </si>
  <si>
    <t>Receivables VT Testing Review Only</t>
  </si>
  <si>
    <t>26B Applied Learning Accounting Hub Major Uplift Çontent Creation</t>
  </si>
  <si>
    <t>AIAS Developer Course Content Dev 4 Agents for ERP</t>
  </si>
  <si>
    <t>AI for ERP Course Review Edits and Incorporate Feedback</t>
  </si>
  <si>
    <t>AIAS Course - Build ERP Agents Content</t>
  </si>
  <si>
    <t>Record 2 AIAS ERP Practices</t>
  </si>
  <si>
    <t>26C Receivables Implementation - create DD, finalize scope, demo feasibility and environment dependencies</t>
  </si>
  <si>
    <t>26B Applied Learning Accounting Hub Major Uplift Recording</t>
  </si>
  <si>
    <t xml:space="preserve">Navigator 25C </t>
  </si>
  <si>
    <t>Infodev- Revenue Management On-camera recording</t>
  </si>
  <si>
    <t xml:space="preserve">Oracle Fusion Cloud Financials: Receivables Implementation Skill Checks </t>
  </si>
  <si>
    <t>Oracle Fusion Cloud Financials: Advanced collections (Uplift) [25C]</t>
  </si>
  <si>
    <t>Oracle Fusion Cloud Financials: Receivables Implementation (Uplift) [25C]</t>
  </si>
  <si>
    <r>
      <rPr>
        <sz val="10"/>
        <color rgb="FF000000"/>
        <rFont val="Aptos Narrow"/>
        <scheme val="minor"/>
      </rPr>
      <t xml:space="preserve">Oracle Fusion Cloud Financials: </t>
    </r>
    <r>
      <rPr>
        <strike/>
        <sz val="10"/>
        <color rgb="FF000000"/>
        <rFont val="Aptos Narrow"/>
        <scheme val="minor"/>
      </rPr>
      <t xml:space="preserve">Receivables </t>
    </r>
    <r>
      <rPr>
        <sz val="10"/>
        <color rgb="FF000000"/>
        <rFont val="Aptos Narrow"/>
        <scheme val="minor"/>
      </rPr>
      <t>Collections Implementation (Uplift) [25C]</t>
    </r>
  </si>
  <si>
    <r>
      <rPr>
        <sz val="10"/>
        <color rgb="FF000000"/>
        <rFont val="Aptos Narrow"/>
        <scheme val="minor"/>
      </rPr>
      <t xml:space="preserve">Oracle Fusion Cloud Financials: </t>
    </r>
    <r>
      <rPr>
        <strike/>
        <sz val="10"/>
        <color rgb="FF000000"/>
        <rFont val="Aptos Narrow"/>
        <scheme val="minor"/>
      </rPr>
      <t>Receivables</t>
    </r>
    <r>
      <rPr>
        <sz val="10"/>
        <color rgb="FF000000"/>
        <rFont val="Aptos Narrow"/>
        <scheme val="minor"/>
      </rPr>
      <t xml:space="preserve"> Collections Implementation (Uplift) [25C]</t>
    </r>
  </si>
  <si>
    <t>Receivables Exam Review 3 Questions</t>
  </si>
  <si>
    <t>Navigator November Release (SCM OMBP)</t>
  </si>
  <si>
    <t>Live Session
Receivables HPE/PBT Exam Update</t>
  </si>
  <si>
    <t xml:space="preserve">26A Uplift Revenue Management Fundamentals </t>
  </si>
  <si>
    <t>Receivables Certification (updating references)</t>
  </si>
  <si>
    <t xml:space="preserve">My Learn AI Testing   </t>
  </si>
  <si>
    <t>OOO - Jan 16</t>
  </si>
  <si>
    <t>26A Uplift Revenue Management Fundamentals Recording</t>
  </si>
  <si>
    <t>25D Using Receivables Uplift</t>
  </si>
  <si>
    <t>AI for ERP Course (Content Creation) - Skip</t>
  </si>
  <si>
    <r>
      <rPr>
        <strike/>
        <sz val="10"/>
        <color rgb="FF000000"/>
        <rFont val="Aptos Narrow"/>
        <scheme val="minor"/>
      </rPr>
      <t xml:space="preserve">AI for ERP Course (Content Creation)
</t>
    </r>
    <r>
      <rPr>
        <sz val="10"/>
        <color rgb="FF000000"/>
        <rFont val="Aptos Narrow"/>
        <scheme val="minor"/>
      </rPr>
      <t>Navigator</t>
    </r>
  </si>
  <si>
    <t>Navigator
Revenue Mgmt 2026 Base Exam Uplift</t>
  </si>
  <si>
    <t>Revenue Mgmt 2026 Base Exam Full Uplift - Day 1</t>
  </si>
  <si>
    <t>Revenue Mgmt 2026 Base Exam Full Uplift - Day 2</t>
  </si>
  <si>
    <t>Live Session - Feb 10 - Implementing Collections Scoring and Strategies</t>
  </si>
  <si>
    <t>Revenue Mgmt 2026 Base Exam Full Uplift - Day 3</t>
  </si>
  <si>
    <t>Revenue Mgmt 2026 Base Exam Full Uplift - Day 4</t>
  </si>
  <si>
    <t>Revenue Mgmt 2026 Base Exam Full Uplift - Day 5</t>
  </si>
  <si>
    <t>Revenue Mgmt 2026 Base Exam Full Uplift - Day 6</t>
  </si>
  <si>
    <t>Receivables 26A NF Base Exam Partial Uplift - Day 1</t>
  </si>
  <si>
    <t>Receivables 26A NF Base Exam Partial Uplift - Day 2 EM Review with CDL</t>
  </si>
  <si>
    <t>Job Role Upskilling: Integration and Data Conversion Course</t>
  </si>
  <si>
    <t>Revenue Mgmt 2026 Base Exam Full Uplift - Day 5 Peer Review Fixes</t>
  </si>
  <si>
    <t>Receivables 26A NF Base Exam Partial Uplift - Day 4 (Peer Review Fixes)</t>
  </si>
  <si>
    <r>
      <rPr>
        <sz val="10"/>
        <color rgb="FF000000"/>
        <rFont val="Aptos Narrow"/>
        <scheme val="minor"/>
      </rPr>
      <t xml:space="preserve">Research &amp; Consulting Input: Integration and Data Conversion Course
</t>
    </r>
    <r>
      <rPr>
        <b/>
        <sz val="10"/>
        <color rgb="FF000000"/>
        <rFont val="Aptos Narrow"/>
        <scheme val="minor"/>
      </rPr>
      <t>Revenue Management VT Testing  (3hrs)</t>
    </r>
  </si>
  <si>
    <t>Research &amp; Consulting Input: Integration and Data Conversion Course</t>
  </si>
  <si>
    <t>Design Doc of the new Integration and Data Conversion Course</t>
  </si>
  <si>
    <t>Design Doc Reviews &amp; Fixes: Integration and Data Conversion Course</t>
  </si>
  <si>
    <t>Develop New Course: Integration and Data Conversion Course</t>
  </si>
  <si>
    <t>Recording Demo- Develop New Course: Integration and Data Conversion Course</t>
  </si>
  <si>
    <t>Infodev Course Handoff Uplifts/ Recordings - Receivables Implementation (Half Day)
Oracle Fusion Cloud Financials: Integrations for Implementation Consultants - Review work (Half Day)
Enterprise Chat: Discover and Design Prompts - Project for AI Prompt POC (Half Day)</t>
  </si>
  <si>
    <t>Infodev Course Handoff Uplifts/ Recordings - Receivables Implementation</t>
  </si>
  <si>
    <t>Rev Mgmt AG Update with dated content</t>
  </si>
  <si>
    <t>Full pipeline testing across Discover, Design, and Develop PPT Skills</t>
  </si>
  <si>
    <t>2026 Delta Exam: AR Day 1</t>
  </si>
  <si>
    <t>2026 Delta Exam: AR Day 2</t>
  </si>
  <si>
    <t>2026 Delta Exam: AR Day 3</t>
  </si>
  <si>
    <t>2026 Delta Exam: AR Day 4
Impact analysis Agent tutorial video</t>
  </si>
  <si>
    <t>2026 Delta Exam: Rev Mgmt Day 1</t>
  </si>
  <si>
    <t>2026 Delta Exam: Rev Mgmt Day 2
VT Completion for the course: Fusion Receivables Implementation Project: Case Study (Half Day)</t>
  </si>
  <si>
    <t>2026 Delta Exam: Rev Mgmt Day 3</t>
  </si>
  <si>
    <t>2026 Delta Exam: Rev Mgmt Day 4</t>
  </si>
  <si>
    <t>2026 Delta Exam: AR Day 5 Review Fixes &amp; References</t>
  </si>
  <si>
    <t>2026 Delta Exam: Rev Mgmt Day 5 Review Fixes &amp; References</t>
  </si>
  <si>
    <t>LWD</t>
  </si>
  <si>
    <t>Carleton</t>
  </si>
  <si>
    <r>
      <t>25C Pending NFs catchup.</t>
    </r>
    <r>
      <rPr>
        <b/>
        <strike/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1"/>
        <rFont val="Aptos Narrow"/>
        <family val="2"/>
        <scheme val="minor"/>
      </rPr>
      <t xml:space="preserve">
AI Agent Studio Course prep
</t>
    </r>
  </si>
  <si>
    <r>
      <rPr>
        <b/>
        <sz val="10"/>
        <color rgb="FFFF0000"/>
        <rFont val="Aptos Narrow"/>
        <family val="2"/>
        <scheme val="minor"/>
      </rPr>
      <t>13 Aug until 24 Aug ::  Vacation</t>
    </r>
    <r>
      <rPr>
        <b/>
        <sz val="10"/>
        <color theme="1"/>
        <rFont val="Aptos Narrow"/>
        <family val="2"/>
        <scheme val="minor"/>
      </rPr>
      <t xml:space="preserve">
AI Agent Studio Course </t>
    </r>
  </si>
  <si>
    <t>13 Aug until 24 Aug ::  Vacation</t>
  </si>
  <si>
    <r>
      <t xml:space="preserve">Complete pending 25C NF
</t>
    </r>
    <r>
      <rPr>
        <b/>
        <sz val="10"/>
        <color rgb="FF7030A0"/>
        <rFont val="Aptos Narrow"/>
        <family val="2"/>
        <scheme val="minor"/>
      </rPr>
      <t>AI for CX (priority)</t>
    </r>
    <r>
      <rPr>
        <b/>
        <sz val="10"/>
        <color theme="1"/>
        <rFont val="Aptos Narrow"/>
        <family val="2"/>
        <scheme val="minor"/>
      </rPr>
      <t xml:space="preserve">
</t>
    </r>
  </si>
  <si>
    <r>
      <rPr>
        <b/>
        <strike/>
        <sz val="10"/>
        <color theme="1"/>
        <rFont val="Aptos Narrow"/>
        <family val="2"/>
        <scheme val="minor"/>
      </rPr>
      <t>*Implementation Foundation :: REC(1 day)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trike/>
        <sz val="10"/>
        <color theme="1"/>
        <rFont val="Aptos Narrow"/>
        <family val="2"/>
        <scheme val="minor"/>
      </rPr>
      <t>*</t>
    </r>
    <r>
      <rPr>
        <b/>
        <strike/>
        <sz val="10"/>
        <color rgb="FF7030A0"/>
        <rFont val="Aptos Narrow"/>
        <family val="2"/>
        <scheme val="minor"/>
      </rPr>
      <t>AI for CX (priority)</t>
    </r>
    <r>
      <rPr>
        <b/>
        <sz val="10"/>
        <color rgb="FF7030A0"/>
        <rFont val="Aptos Narrow"/>
        <family val="2"/>
        <scheme val="minor"/>
      </rPr>
      <t xml:space="preserve">
</t>
    </r>
    <r>
      <rPr>
        <b/>
        <strike/>
        <sz val="10"/>
        <color rgb="FF7030A0"/>
        <rFont val="Aptos Narrow"/>
        <family val="2"/>
        <scheme val="minor"/>
      </rPr>
      <t>*Complete pending 25C NF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trike/>
        <sz val="10"/>
        <color theme="1"/>
        <rFont val="Aptos Narrow"/>
        <family val="2"/>
        <scheme val="minor"/>
      </rPr>
      <t>*Sales Implementation- (Content validation + uplift+ Rec)</t>
    </r>
    <r>
      <rPr>
        <b/>
        <sz val="10"/>
        <color theme="1"/>
        <rFont val="Aptos Narrow"/>
        <family val="2"/>
        <scheme val="minor"/>
      </rPr>
      <t xml:space="preserve">
Sep 1 (US holiday)
Sep 2  (unwell)
Sep3-5 ::Scoping project for United Airlines (tailoring a 3-day live in-person Incentive Compensation course for 15-17 people); presenting proposal to United Airlines team.</t>
    </r>
  </si>
  <si>
    <r>
      <rPr>
        <b/>
        <sz val="10"/>
        <color rgb="FF7030A0"/>
        <rFont val="Aptos Narrow"/>
        <family val="2"/>
        <scheme val="minor"/>
      </rPr>
      <t>*Rework of AI for CX design document WIP (09-Sep) Content dev until 12 Sep.</t>
    </r>
    <r>
      <rPr>
        <b/>
        <sz val="10"/>
        <color theme="1"/>
        <rFont val="Aptos Narrow"/>
        <family val="2"/>
        <scheme val="minor"/>
      </rPr>
      <t xml:space="preserve">
*Update meeting with United Airlines is tomorrow (10 Sep).  If the project goes forward, will need to block time for prep/lab testing/minor uplift.  Planned delivery October or early November in Chicago or Houston.</t>
    </r>
  </si>
  <si>
    <t>AI for CX 
25D BOM [1Day]</t>
  </si>
  <si>
    <t>*Sales Implementation- (Content validation + uplift+ Rec)</t>
  </si>
  <si>
    <t>CSS AI Training - Gary Miller Email (2 Days)</t>
  </si>
  <si>
    <t xml:space="preserve">25D NF
* Record AI for CX, Prompt Engineering
</t>
  </si>
  <si>
    <t>Out of Office</t>
  </si>
  <si>
    <t>CLS Live Delta Certification</t>
  </si>
  <si>
    <t>CLS Live Delta Certification - Sales Unboxing (4)</t>
  </si>
  <si>
    <t>Sales Unboxing (4)</t>
  </si>
  <si>
    <t>Testing, content dev for Incentive comp for United Airlines</t>
  </si>
  <si>
    <t xml:space="preserve">Testing, content dev for Incentive comp for United Airlines/ Partner training calls </t>
  </si>
  <si>
    <t>DCFR/Customer call w/United/Updated unboxing template</t>
  </si>
  <si>
    <t>Sales unboxing updates</t>
  </si>
  <si>
    <t>Certification Update - Drs. Appts/OOO</t>
  </si>
  <si>
    <t xml:space="preserve">DCFR CPQ/Drs./Unboxing </t>
  </si>
  <si>
    <t>Team Call/DCFR CPQ/Drs./Unboxing Handoff</t>
  </si>
  <si>
    <t>Review BOM, NFs planning (12 recordings), unboxing feedback</t>
  </si>
  <si>
    <t>Finalize NFs</t>
  </si>
  <si>
    <t>Traveling - Complete NFs</t>
  </si>
  <si>
    <t xml:space="preserve">* United Airlines &gt;&gt; Live session &gt;&gt; on Oracle CX Sales: Incentive Compensation
</t>
  </si>
  <si>
    <t>Vacation Day</t>
  </si>
  <si>
    <t>AI Agent Uplift 18-21</t>
  </si>
  <si>
    <t>*25D pending NF (check CDL plan)
*Record Oracle Fusion Sales and Service: Implementation Foundation
*Main and Delta Exam items update</t>
  </si>
  <si>
    <t>Schedule to be provided by Carleton</t>
  </si>
  <si>
    <t>US Holiday</t>
  </si>
  <si>
    <t xml:space="preserve">CDL- Recovering </t>
  </si>
  <si>
    <t>AI agent Studio uplift</t>
  </si>
  <si>
    <t>AI agent Studio uplift - Review Partner Content</t>
  </si>
  <si>
    <t>OOO - Ill</t>
  </si>
  <si>
    <t>Sales &amp; Service Implementation Review</t>
  </si>
  <si>
    <t>NF BOM Review</t>
  </si>
  <si>
    <t>26A NF Videos
Dependent on environment availability</t>
  </si>
  <si>
    <t xml:space="preserve">Holiday
Winter Break
</t>
  </si>
  <si>
    <t>Review Partner Training Content</t>
  </si>
  <si>
    <t>AI Uplift</t>
  </si>
  <si>
    <t>Partner Training Impact Analysis, What can be leveraged? What Needs to be built new?</t>
  </si>
  <si>
    <t xml:space="preserve">Fusion Sales Implementation Foundation </t>
  </si>
  <si>
    <t>Presidents' Day - US Holiday</t>
  </si>
  <si>
    <t>OOO - Vacation</t>
  </si>
  <si>
    <t>2025 Exam Uplift: 1061 Fusion Sales</t>
  </si>
  <si>
    <t>Exam Peer Review Feedback - SOAK Pods?</t>
  </si>
  <si>
    <t>Exam Peer Review Feedback</t>
  </si>
  <si>
    <t>NFs Demos</t>
  </si>
  <si>
    <t>26BNF Content Dev + Recording - End (incl Publishing)</t>
  </si>
  <si>
    <t>Delta Exam: CX Sales</t>
  </si>
  <si>
    <t>Phil</t>
  </si>
  <si>
    <t xml:space="preserve">
B2C NFs/Intelligent Advisor NFs
</t>
  </si>
  <si>
    <r>
      <t xml:space="preserve">Navigator 
</t>
    </r>
    <r>
      <rPr>
        <b/>
        <sz val="10"/>
        <color rgb="FFFF0000"/>
        <rFont val="Aptos Narrow"/>
        <family val="2"/>
        <scheme val="minor"/>
      </rPr>
      <t>PTO - f</t>
    </r>
  </si>
  <si>
    <r>
      <rPr>
        <b/>
        <sz val="10"/>
        <color theme="1"/>
        <rFont val="Aptos Narrow"/>
        <family val="2"/>
        <scheme val="minor"/>
      </rPr>
      <t xml:space="preserve">Navigator </t>
    </r>
    <r>
      <rPr>
        <b/>
        <sz val="10"/>
        <color rgb="FFFF0000"/>
        <rFont val="Aptos Narrow"/>
        <family val="2"/>
        <scheme val="minor"/>
      </rPr>
      <t xml:space="preserve">
PTO: w-f</t>
    </r>
  </si>
  <si>
    <r>
      <t xml:space="preserve">
(25 Aug UK holiday)
</t>
    </r>
    <r>
      <rPr>
        <b/>
        <sz val="10"/>
        <color rgb="FF7030A0"/>
        <rFont val="Aptos Narrow"/>
        <family val="2"/>
        <scheme val="minor"/>
      </rPr>
      <t>Navigator</t>
    </r>
  </si>
  <si>
    <r>
      <rPr>
        <b/>
        <sz val="10"/>
        <color rgb="FF7030A0"/>
        <rFont val="Aptos Narrow"/>
        <family val="2"/>
        <scheme val="minor"/>
      </rPr>
      <t>Rec 25C B2C Service NF (having few env issues, expected to spill over to next week)</t>
    </r>
    <r>
      <rPr>
        <b/>
        <sz val="10"/>
        <color theme="1"/>
        <rFont val="Aptos Narrow"/>
        <family val="2"/>
        <scheme val="minor"/>
      </rPr>
      <t xml:space="preserve">
'AI for you' completion (1 day) (Damien's email for employees)
</t>
    </r>
    <r>
      <rPr>
        <b/>
        <strike/>
        <sz val="10"/>
        <color theme="1"/>
        <rFont val="Aptos Narrow"/>
        <family val="2"/>
        <scheme val="minor"/>
      </rPr>
      <t>B2C Service Admin course uplift</t>
    </r>
    <r>
      <rPr>
        <b/>
        <sz val="10"/>
        <color theme="1"/>
        <rFont val="Aptos Narrow"/>
        <family val="2"/>
        <scheme val="minor"/>
      </rPr>
      <t xml:space="preserve">
</t>
    </r>
  </si>
  <si>
    <r>
      <rPr>
        <b/>
        <sz val="10"/>
        <color rgb="FF7030A0"/>
        <rFont val="Aptos Narrow"/>
        <family val="2"/>
        <scheme val="minor"/>
      </rPr>
      <t>Rec 25C B2C Service NF 
*AI for CX (DD+content dev planned for this week)  
*Fusion Service Redwood Implementation (Rec and Demos+Labs planned to be picked next after AI anf NF completion)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trike/>
        <sz val="10"/>
        <color theme="1"/>
        <rFont val="Aptos Narrow"/>
        <family val="2"/>
        <scheme val="minor"/>
      </rPr>
      <t>B2C Service Admin course uplift (On Hold)</t>
    </r>
  </si>
  <si>
    <t xml:space="preserve">
B2C Service Admin course uplift (On Hold)</t>
  </si>
  <si>
    <r>
      <t xml:space="preserve">
</t>
    </r>
    <r>
      <rPr>
        <b/>
        <sz val="10"/>
        <color rgb="FFFF0000"/>
        <rFont val="Aptos Narrow"/>
        <family val="2"/>
        <scheme val="minor"/>
      </rPr>
      <t>B2C Service Admin course uplift (On Hold)</t>
    </r>
    <r>
      <rPr>
        <b/>
        <sz val="10"/>
        <color theme="1"/>
        <rFont val="Aptos Narrow"/>
        <family val="2"/>
        <scheme val="minor"/>
      </rPr>
      <t xml:space="preserve">
CSS AI Training - Gary Miller Email (3 Days)</t>
    </r>
  </si>
  <si>
    <r>
      <t xml:space="preserve">
</t>
    </r>
    <r>
      <rPr>
        <b/>
        <strike/>
        <sz val="10"/>
        <color theme="1"/>
        <rFont val="Aptos Narrow"/>
        <family val="2"/>
        <scheme val="minor"/>
      </rPr>
      <t xml:space="preserve">B2C Service Admin course uplift (On Hold)
</t>
    </r>
    <r>
      <rPr>
        <b/>
        <sz val="10"/>
        <color theme="1"/>
        <rFont val="Aptos Narrow"/>
        <family val="2"/>
        <scheme val="minor"/>
      </rPr>
      <t xml:space="preserve">
*AI cert effort until 8 Oct
*25D NF (9 and 10 Oct)</t>
    </r>
  </si>
  <si>
    <t>Intelligent Advisor and misc certification clean up</t>
  </si>
  <si>
    <t>Digital Customer Service Unboxing video</t>
  </si>
  <si>
    <t>1) Default SR Details Page for Fusion Service Reps in the Redwood Service Center.   2)  Extend Audit Default Date Range to 90 Days with 1-Year Maximum Option in the Redwood Service Center
Introducing AI Agent for Sending Sales and Service Notifications</t>
  </si>
  <si>
    <t>1) Automatic Expansion of Service Request Messages in the Redwood Service Center. 2) Display Knowledge Article Names as Links While Composing Messages in the Redwood Service Center</t>
  </si>
  <si>
    <t>1) Enhanced List View for Easier Case Note Management 2)Enhance the Product Selection for a Service Request in the Redwood Service Center 2)Enhance the Product Selection for a Service Request in the Redwood Service Center</t>
  </si>
  <si>
    <t>1)Filter Assignees by Queue for Smarter Case Reassignment 2) Work order Agent</t>
  </si>
  <si>
    <t>1) Service Center Unboxing 2) Updated conversation list page available from the Service Center Home page</t>
  </si>
  <si>
    <t>1) Completed Service Request creation agent  2) afternoon meetings</t>
  </si>
  <si>
    <t>1) Support personalization KPI Dashboard. 2) Manage complex long running cases w/Case analyzer AI Agent. **Remaining features have tech issues</t>
  </si>
  <si>
    <t>Complete 25D Fusion Service NF</t>
  </si>
  <si>
    <t>Navigator WIP</t>
  </si>
  <si>
    <t>Weekoff</t>
  </si>
  <si>
    <t xml:space="preserve">B2C Service Lab </t>
  </si>
  <si>
    <t>Flexible Hours</t>
  </si>
  <si>
    <t>B2C Service Admin (content dev +Rec) </t>
  </si>
  <si>
    <t> Fusion Service Redwood Implementation course </t>
  </si>
  <si>
    <r>
      <t>25D B2C Service and IA NF</t>
    </r>
    <r>
      <rPr>
        <b/>
        <sz val="10"/>
        <color rgb="FF000000"/>
        <rFont val="Aptos Narrow"/>
        <family val="2"/>
      </rPr>
      <t xml:space="preserve">
Fusion Service Redwood Implementation course </t>
    </r>
  </si>
  <si>
    <t>Fusion Service Redwood Implementation course </t>
  </si>
  <si>
    <t>25D B2C Service and IA NF</t>
  </si>
  <si>
    <t>*25D B2C Service and IA NF
*Fusion Service implementation course
*Review CX Partner Training Recording</t>
  </si>
  <si>
    <t>Fusion Service implementation course
*Review CX Partner Training Recording</t>
  </si>
  <si>
    <t>Fusion Service implementation course</t>
  </si>
  <si>
    <r>
      <t>Fusion Service implementation course
*Finalize the CX Build List</t>
    </r>
    <r>
      <rPr>
        <b/>
        <sz val="10"/>
        <color rgb="FF000000"/>
        <rFont val="Aptos Narrow"/>
      </rPr>
      <t xml:space="preserve">
Sales and Service Impl Foundation Review </t>
    </r>
  </si>
  <si>
    <t>Sales &amp; Service Implementation Review
Extensibility Sales and Service Review</t>
  </si>
  <si>
    <t>Fusion Service implementation course Design</t>
  </si>
  <si>
    <t>26A NF BOM</t>
  </si>
  <si>
    <t>Fusion Service implementation course Design:
Extensibility Sales &amp; Service split review</t>
  </si>
  <si>
    <t>OOO (24 Dec -1 Jan 2026)</t>
  </si>
  <si>
    <t>Holiday
Winter Break</t>
  </si>
  <si>
    <t>New Course: Workflow Implementation (PT)</t>
  </si>
  <si>
    <t>Uplift: Implementing Fusion Knowledge RW (PT)</t>
  </si>
  <si>
    <t>Migrating from Fusion Service Classic to Redwood (PT)</t>
  </si>
  <si>
    <t>Fusion Service Implementation Foundation</t>
  </si>
  <si>
    <t>2026 Exam Uplift: Fusion Service: 1064</t>
  </si>
  <si>
    <t>2027 Exam Uplift: Fusion Service: 1064</t>
  </si>
  <si>
    <t>Fusion Service Implementation Foundation/Security course</t>
  </si>
  <si>
    <t>2026 Exam Feedback Fixes/NFs</t>
  </si>
  <si>
    <t>UK Holiday</t>
  </si>
  <si>
    <t>NFs Demos - SOAK Pods?</t>
  </si>
  <si>
    <t>NFs Demos - Unboxing</t>
  </si>
  <si>
    <t>Security Overview- Recording</t>
  </si>
  <si>
    <t>Delta Exam: Fusion Service</t>
  </si>
  <si>
    <r>
      <rPr>
        <b/>
        <sz val="9"/>
        <color rgb="FF000000"/>
        <rFont val="Aptos Display"/>
      </rPr>
      <t xml:space="preserve">Recording: </t>
    </r>
    <r>
      <rPr>
        <sz val="9"/>
        <color rgb="FF000000"/>
        <rFont val="Aptos Light"/>
      </rPr>
      <t xml:space="preserve">Fusion Service Implementation </t>
    </r>
  </si>
  <si>
    <t>Pub Hoilday</t>
  </si>
  <si>
    <r>
      <rPr>
        <b/>
        <sz val="9"/>
        <color rgb="FF000000"/>
        <rFont val="Aptos Display"/>
      </rPr>
      <t xml:space="preserve">Recording: </t>
    </r>
    <r>
      <rPr>
        <sz val="9"/>
        <color rgb="FF000000"/>
        <rFont val="Aptos Light"/>
      </rPr>
      <t>Fusion Service Implementation 
Half Day- Sales/Service- Inventroy Check</t>
    </r>
  </si>
  <si>
    <r>
      <rPr>
        <b/>
        <sz val="9"/>
        <color rgb="FF000000"/>
        <rFont val="Aptos Display"/>
      </rPr>
      <t xml:space="preserve">Record PPT: </t>
    </r>
    <r>
      <rPr>
        <sz val="9"/>
        <color rgb="FF000000"/>
        <rFont val="Aptos Light"/>
      </rPr>
      <t xml:space="preserve">Fusion Service Implementation </t>
    </r>
  </si>
  <si>
    <r>
      <rPr>
        <b/>
        <sz val="9"/>
        <color rgb="FF000000"/>
        <rFont val="Aptos Display"/>
      </rPr>
      <t xml:space="preserve">Design Doc:  </t>
    </r>
    <r>
      <rPr>
        <sz val="9"/>
        <color rgb="FF000000"/>
        <rFont val="Aptos Display"/>
      </rPr>
      <t>AI for CX</t>
    </r>
  </si>
  <si>
    <r>
      <rPr>
        <b/>
        <sz val="9"/>
        <color rgb="FF000000"/>
        <rFont val="Aptos Display"/>
      </rPr>
      <t xml:space="preserve">Record:  </t>
    </r>
    <r>
      <rPr>
        <sz val="9"/>
        <color rgb="FF000000"/>
        <rFont val="Aptos Light"/>
      </rPr>
      <t xml:space="preserve">Fusion Service Implementation </t>
    </r>
  </si>
  <si>
    <r>
      <rPr>
        <b/>
        <sz val="10"/>
        <color rgb="FF000000"/>
        <rFont val="Calibri"/>
      </rPr>
      <t xml:space="preserve">Design Doc Fixes: </t>
    </r>
    <r>
      <rPr>
        <sz val="10"/>
        <color rgb="FF000000"/>
        <rFont val="Calibri"/>
      </rPr>
      <t xml:space="preserve"> AI for CX</t>
    </r>
  </si>
  <si>
    <t xml:space="preserve"> AI for CX: Design Doc Review by Prod Management</t>
  </si>
  <si>
    <t>26C BOM Review</t>
  </si>
  <si>
    <t xml:space="preserve">AG Content Dev: Fusion Service Impl
</t>
  </si>
  <si>
    <t>26C NF Analyze in Env</t>
  </si>
  <si>
    <t>Portfolio Meeting Prep Day</t>
  </si>
  <si>
    <t>26C NF (17 features; 3 features per day; 6 days)</t>
  </si>
  <si>
    <t>AG Dev: Fusion Service Impl</t>
  </si>
  <si>
    <t>Skills Check Dev:  Fusion Service Impl</t>
  </si>
  <si>
    <t>Cert Question Updates: 2-3 questions for Fusion Impl Pro</t>
  </si>
  <si>
    <t>Contetn Dev: AI in Service</t>
  </si>
  <si>
    <r>
      <rPr>
        <b/>
        <sz val="10"/>
        <color rgb="FF000000"/>
        <rFont val="Calibri"/>
      </rPr>
      <t>Content Dev &amp; Video Generation:</t>
    </r>
    <r>
      <rPr>
        <sz val="10"/>
        <color rgb="FF000000"/>
        <rFont val="Calibri"/>
      </rPr>
      <t xml:space="preserve"> AI in Service</t>
    </r>
  </si>
  <si>
    <r>
      <rPr>
        <b/>
        <sz val="10"/>
        <color rgb="FF000000"/>
        <rFont val="Calibri"/>
      </rPr>
      <t xml:space="preserve">Record:  </t>
    </r>
    <r>
      <rPr>
        <sz val="10"/>
        <color rgb="FF000000"/>
        <rFont val="Calibri"/>
      </rPr>
      <t xml:space="preserve">Intro to AI for CX Srv (half day)
</t>
    </r>
    <r>
      <rPr>
        <b/>
        <sz val="10"/>
        <color rgb="FF000000"/>
        <rFont val="Calibri"/>
      </rPr>
      <t xml:space="preserve">Content Dev &amp; Video Generation: </t>
    </r>
    <r>
      <rPr>
        <sz val="10"/>
        <color rgb="FF000000"/>
        <rFont val="Calibri"/>
      </rPr>
      <t>AI in Service</t>
    </r>
  </si>
  <si>
    <r>
      <rPr>
        <b/>
        <sz val="10"/>
        <color rgb="FF000000"/>
        <rFont val="Aptos Narrow"/>
        <scheme val="minor"/>
      </rPr>
      <t xml:space="preserve">TBD Content Dev: </t>
    </r>
    <r>
      <rPr>
        <sz val="10"/>
        <color rgb="FF000000"/>
        <rFont val="Aptos Narrow"/>
        <scheme val="minor"/>
      </rPr>
      <t xml:space="preserve"> AI in Service Assessment</t>
    </r>
  </si>
  <si>
    <t>Develop:  AI for Srv AG</t>
  </si>
  <si>
    <r>
      <rPr>
        <b/>
        <sz val="10"/>
        <color rgb="FF000000"/>
        <rFont val="Aptos Narrow"/>
        <scheme val="minor"/>
      </rPr>
      <t xml:space="preserve">DD:  </t>
    </r>
    <r>
      <rPr>
        <sz val="10"/>
        <color rgb="FF000000"/>
        <rFont val="Aptos Narrow"/>
        <scheme val="minor"/>
      </rPr>
      <t>Digital Customer Service</t>
    </r>
  </si>
  <si>
    <t>Rafael</t>
  </si>
  <si>
    <r>
      <rPr>
        <b/>
        <strike/>
        <sz val="10"/>
        <color theme="1"/>
        <rFont val="Aptos Narrow"/>
        <family val="2"/>
        <scheme val="minor"/>
      </rPr>
      <t xml:space="preserve">Responsys Implementation Learning Path: Courses Uplift (15) - Recording + AG  Development
</t>
    </r>
    <r>
      <rPr>
        <b/>
        <sz val="10"/>
        <color theme="1"/>
        <rFont val="Aptos Narrow"/>
        <family val="2"/>
        <scheme val="minor"/>
      </rPr>
      <t>AI Agent Studio course prep</t>
    </r>
  </si>
  <si>
    <r>
      <rPr>
        <b/>
        <strike/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1"/>
        <rFont val="Aptos Narrow"/>
        <family val="2"/>
        <scheme val="minor"/>
      </rPr>
      <t xml:space="preserve">AI Agent Studio course </t>
    </r>
  </si>
  <si>
    <r>
      <rPr>
        <b/>
        <strike/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5"/>
        <rFont val="Aptos Narrow"/>
        <family val="2"/>
        <scheme val="minor"/>
      </rPr>
      <t xml:space="preserve">AI Agent Studio Cert Question writing </t>
    </r>
  </si>
  <si>
    <r>
      <rPr>
        <b/>
        <sz val="10"/>
        <color rgb="FF7030A0"/>
        <rFont val="Aptos Narrow"/>
        <family val="2"/>
        <scheme val="minor"/>
      </rPr>
      <t xml:space="preserve">25B and 25C NF (pending will spill over to next week)
*Covering a live session for a fallen co-worker this week and have an AI studio class prep meetings for Oracle World.
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trike/>
        <sz val="10"/>
        <color theme="1"/>
        <rFont val="Aptos Narrow"/>
        <family val="2"/>
        <scheme val="minor"/>
      </rPr>
      <t>Responsys Implementation Learning Path: Courses Uplift - Recording + AG  Development</t>
    </r>
  </si>
  <si>
    <r>
      <rPr>
        <b/>
        <sz val="10"/>
        <color rgb="FF7030A0"/>
        <rFont val="Aptos Narrow"/>
        <family val="2"/>
        <scheme val="minor"/>
      </rPr>
      <t>25B NF</t>
    </r>
    <r>
      <rPr>
        <b/>
        <sz val="10"/>
        <color theme="1"/>
        <rFont val="Aptos Narrow"/>
        <family val="2"/>
        <scheme val="minor"/>
      </rPr>
      <t xml:space="preserve">
AI for CX (1 day to validate the updated DD and current course)</t>
    </r>
  </si>
  <si>
    <r>
      <t>25C NF WIP</t>
    </r>
    <r>
      <rPr>
        <b/>
        <strike/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trike/>
        <sz val="10"/>
        <color theme="1"/>
        <rFont val="Aptos Narrow"/>
        <family val="2"/>
        <scheme val="minor"/>
      </rPr>
      <t>Responsys Essentials Expert ( 9 courses) - Recording</t>
    </r>
  </si>
  <si>
    <t>Responsys Essentials Expert ( 9 courses) - Recording</t>
  </si>
  <si>
    <r>
      <t xml:space="preserve">Responsys Essentials Expert ( 9 courses) - Recording
</t>
    </r>
    <r>
      <rPr>
        <b/>
        <sz val="10"/>
        <color theme="1"/>
        <rFont val="Aptos Narrow"/>
        <family val="2"/>
        <scheme val="minor"/>
      </rPr>
      <t>CSS AI Training - Gary Miller Email (2 Days)</t>
    </r>
  </si>
  <si>
    <t>Preparing : AI course for AI world (Delivery) this entire week</t>
  </si>
  <si>
    <t>Product, AI World meetings 1/2 Day, test environments, AI Cert support, AI professional cert video review</t>
  </si>
  <si>
    <t xml:space="preserve"> Presenting AI World</t>
  </si>
  <si>
    <t>Inventory Review and Project Plan</t>
  </si>
  <si>
    <t xml:space="preserve">Responsys Implementation   ( courses uplift +recording ) </t>
  </si>
  <si>
    <t xml:space="preserve">Eloqua - Responsys - Unity - CDP - FusionMktg 2025/2026 Workload Planning </t>
  </si>
  <si>
    <t>Eloqua 25D NFs</t>
  </si>
  <si>
    <t>Responsys Acct Setup</t>
  </si>
  <si>
    <t>CDL OOO</t>
  </si>
  <si>
    <t>OOO - ILL</t>
  </si>
  <si>
    <t>Responsys AG</t>
  </si>
  <si>
    <t>Eloqua 25D NF
(Or)
Partner training videos review  feedback</t>
  </si>
  <si>
    <t>Eloqua 25D NF</t>
  </si>
  <si>
    <t>Fusion Service implementation course Review w/Team 
Eloqua 25D NF</t>
  </si>
  <si>
    <t>Eloqua 25D NF
Dentist Appt</t>
  </si>
  <si>
    <t>Responsys Training Prep</t>
  </si>
  <si>
    <t>Repsonsys Training Tx - Traveling</t>
  </si>
  <si>
    <t>Repsonsys Training Tx</t>
  </si>
  <si>
    <t>Repsonsys Training Tx - SCM/Nick</t>
  </si>
  <si>
    <t>Admin</t>
  </si>
  <si>
    <t>26A Eloqua/Marketing NFs</t>
  </si>
  <si>
    <t xml:space="preserve">MLK Day - US Holiday
</t>
  </si>
  <si>
    <t>Unboxing Videos</t>
  </si>
  <si>
    <t>Partner Training Content</t>
  </si>
  <si>
    <t>Partner Training RWS</t>
  </si>
  <si>
    <t>AI Course Design</t>
  </si>
  <si>
    <t>26A Responsys NF</t>
  </si>
  <si>
    <t>Deloitte Prep</t>
  </si>
  <si>
    <t>Deloitte Training (Travel/Prep)</t>
  </si>
  <si>
    <t>Deloitte Training - Toronto (Presentation)</t>
  </si>
  <si>
    <t>AI Agent Dev Course</t>
  </si>
  <si>
    <t>AI Developers Certification</t>
  </si>
  <si>
    <t>Responsys PRV Event content testing</t>
  </si>
  <si>
    <t>Fusion CDP - Ramp, Design</t>
  </si>
  <si>
    <t>2025 Exam Uplift: Responsys</t>
  </si>
  <si>
    <t>2024 Exam Uplift: Responsys</t>
  </si>
  <si>
    <t>2025 Exam Uplift: Eloqua</t>
  </si>
  <si>
    <t>2026 Exam Uplift: Eloqua</t>
  </si>
  <si>
    <t>AIAS Cert Development</t>
  </si>
  <si>
    <t>TBD - Fusion Marketing/Unity</t>
  </si>
  <si>
    <t>Place holding 26B NF BOM/Peer Review</t>
  </si>
  <si>
    <t>TBD - Fusion Marketing/Unity - Eloqua Peer Review</t>
  </si>
  <si>
    <t>Delta Exam: Responsys</t>
  </si>
  <si>
    <t>Delta Exam: Eloqua</t>
  </si>
  <si>
    <t>Shivam</t>
  </si>
  <si>
    <r>
      <t xml:space="preserve">Navigator
</t>
    </r>
    <r>
      <rPr>
        <b/>
        <sz val="10"/>
        <color rgb="FFFF0000"/>
        <rFont val="Aptos Narrow"/>
        <family val="2"/>
        <scheme val="minor"/>
      </rPr>
      <t>Holiday - w</t>
    </r>
  </si>
  <si>
    <r>
      <t xml:space="preserve">Extending RW for Sales and Service 
9 Sep-6 Oct (Content dev)
7 Oct-3 Nov  (Rec planned)
Skill check- 1/3 completed
Practices- 5/40 completed
Lessons- 7 /33 completed
</t>
    </r>
    <r>
      <rPr>
        <b/>
        <sz val="10"/>
        <color rgb="FF7030A0"/>
        <rFont val="Aptos Narrow"/>
        <family val="2"/>
        <scheme val="minor"/>
      </rPr>
      <t>*Navigator (8 Sep)</t>
    </r>
  </si>
  <si>
    <r>
      <t xml:space="preserve">Extending RW for Sales and Service (WIP)
9 Sep-6 Oct (Content dev)
7 Oct-3 Nov  (Rec planned)
</t>
    </r>
    <r>
      <rPr>
        <b/>
        <i/>
        <sz val="10"/>
        <color theme="1"/>
        <rFont val="Aptos Narrow"/>
        <family val="2"/>
        <scheme val="minor"/>
      </rPr>
      <t>25D NF BOM [1 Day]</t>
    </r>
    <r>
      <rPr>
        <b/>
        <sz val="10"/>
        <color theme="1"/>
        <rFont val="Aptos Narrow"/>
        <family val="2"/>
        <scheme val="minor"/>
      </rPr>
      <t xml:space="preserve">
</t>
    </r>
  </si>
  <si>
    <t xml:space="preserve">Extending RW for Sales and Service (WIP)
9 Sep-6 Oct (Content dev)
7 Oct-3 Nov  (Rec planned)
</t>
  </si>
  <si>
    <r>
      <rPr>
        <b/>
        <strike/>
        <sz val="10"/>
        <color rgb="FFFF0000"/>
        <rFont val="Aptos Narrow"/>
        <family val="2"/>
        <scheme val="minor"/>
      </rPr>
      <t xml:space="preserve">Extending RW for Sales and Service (WIP)
9 Sep-6 Oct (Content dev)
7 Oct-3 Nov  (Rec planned)
</t>
    </r>
    <r>
      <rPr>
        <b/>
        <sz val="10"/>
        <color rgb="FFFF0000"/>
        <rFont val="Aptos Narrow"/>
        <family val="2"/>
        <scheme val="minor"/>
      </rPr>
      <t xml:space="preserve">Holiday - w, th
</t>
    </r>
    <r>
      <rPr>
        <b/>
        <sz val="10"/>
        <color theme="1"/>
        <rFont val="Aptos Narrow"/>
        <family val="2"/>
        <scheme val="minor"/>
      </rPr>
      <t>CSS AI Training - Gary Miller Email (3 Days)</t>
    </r>
  </si>
  <si>
    <t xml:space="preserve">Extending RW for Sales and Service (WIP)
9 Sep-9 Oct (content dev)
20 Oct - 21 Nov (rec TBD)
*25D NF
</t>
  </si>
  <si>
    <t xml:space="preserve">25D NF
</t>
  </si>
  <si>
    <r>
      <rPr>
        <b/>
        <sz val="10"/>
        <color rgb="FFFF0000"/>
        <rFont val="Aptos Narrow"/>
        <family val="2"/>
        <scheme val="minor"/>
      </rPr>
      <t xml:space="preserve">Holiday - 20, 21
</t>
    </r>
    <r>
      <rPr>
        <b/>
        <sz val="10"/>
        <color theme="1"/>
        <rFont val="Aptos Narrow"/>
        <family val="2"/>
        <scheme val="minor"/>
      </rPr>
      <t xml:space="preserve">*25D NF (22,23,24)
</t>
    </r>
    <r>
      <rPr>
        <b/>
        <strike/>
        <sz val="10"/>
        <color theme="1"/>
        <rFont val="Aptos Narrow"/>
        <family val="2"/>
        <scheme val="minor"/>
      </rPr>
      <t>*Extending RW for Sales and Service (WIP)
20 Oct - 21 Nov (rec TBD</t>
    </r>
    <r>
      <rPr>
        <b/>
        <sz val="10"/>
        <color theme="1"/>
        <rFont val="Aptos Narrow"/>
        <family val="2"/>
        <scheme val="minor"/>
      </rPr>
      <t>)</t>
    </r>
  </si>
  <si>
    <t xml:space="preserve">Navigator Oct Release (27, 28, 29)
Extending RW for Sales and Service (WIP)
</t>
  </si>
  <si>
    <t xml:space="preserve">Attend Training (3,4,5)
Extending RW for Sales and Service (WIP)
20 Oct - 21 Nov (rec TBD)
</t>
  </si>
  <si>
    <t xml:space="preserve">Attend Training (11,12,13)
Extending RW for Sales and Service (WIP)
20 Oct - 21 Nov (rec TBD)
</t>
  </si>
  <si>
    <t>Extending RW for Sales and Service (PPTs WIP until 12 Dec )</t>
  </si>
  <si>
    <r>
      <t>*Extending RW for Sales and Service ( one day 8 Dec)</t>
    </r>
    <r>
      <rPr>
        <b/>
        <sz val="10"/>
        <color rgb="FF000000"/>
        <rFont val="Calibri"/>
        <family val="2"/>
      </rPr>
      <t xml:space="preserve">
Partner training videos review Fusion Service  WIP (today) , need Shivams time for feedback review on Sales Video as well</t>
    </r>
  </si>
  <si>
    <t>Attend Training (9,10,11,12)</t>
  </si>
  <si>
    <t>Review Partner Training Videos</t>
  </si>
  <si>
    <t>NF BOM Review 26A</t>
  </si>
  <si>
    <t>*Extending RW for Sales and Service ( Recording 15- 31 Dec)</t>
  </si>
  <si>
    <t>*Extending RW for Sales and Service ( Recording 15- 31 Dec)
*Validate CPQ courses (TBD)</t>
  </si>
  <si>
    <t>Content Review &amp; Plan- TOC/Design for Service cloud</t>
  </si>
  <si>
    <t xml:space="preserve">Holiday
</t>
  </si>
  <si>
    <t> TOC/Design for Service cloud</t>
  </si>
  <si>
    <t xml:space="preserve">26A NFs. </t>
  </si>
  <si>
    <t>26A NFs (Carleton NFs)</t>
  </si>
  <si>
    <t>Content Dev- Oracle Fusion Sales Cloud : Extensibility</t>
  </si>
  <si>
    <r>
      <rPr>
        <sz val="9"/>
        <color rgb="FF000000"/>
        <rFont val="Aptos Light"/>
      </rPr>
      <t xml:space="preserve">Content Dev- Oracle Fusion Sales Cloud : Extensibility
</t>
    </r>
    <r>
      <rPr>
        <b/>
        <sz val="9"/>
        <color rgb="FF000000"/>
        <rFont val="Aptos Light"/>
      </rPr>
      <t xml:space="preserve">RE&amp;F AI Session (Prep &amp; Session) (Half-Day)
</t>
    </r>
  </si>
  <si>
    <r>
      <rPr>
        <strike/>
        <sz val="9"/>
        <color rgb="FF000000"/>
        <rFont val="Aptos Light"/>
      </rPr>
      <t xml:space="preserve">Content Dev- Oracle Fusion Sales Cloud : Extensibility
</t>
    </r>
    <r>
      <rPr>
        <sz val="9"/>
        <color rgb="FF000000"/>
        <rFont val="Aptos Light"/>
      </rPr>
      <t xml:space="preserve">
OOO</t>
    </r>
  </si>
  <si>
    <t>26B BOM (Half Day)
Content Dev- Oracle Fusion Sales Cloud : Extensibility PPT Fixes(Half Day)</t>
  </si>
  <si>
    <t>26B BOM (Half Day)
Content Dev- Oracle Fusion Sales Cloud : Extensibility 2 Practices Rewrite (Half Day)</t>
  </si>
  <si>
    <t>2026 Exam Uplift: CPQ
Content Dev- Oracle Fusion Sales Cloud : Extensibility 2 Practices Record (Half Day)</t>
  </si>
  <si>
    <t xml:space="preserve">2026 Exam Uplift: CPQ
</t>
  </si>
  <si>
    <t>2026 Exam Uplift: CPQ</t>
  </si>
  <si>
    <t>Oracle Fusion Service Cloud : Extensibility</t>
  </si>
  <si>
    <t>Peer review Feedback CPQ  
CX Sales EM Feedback Fixes and Item References</t>
  </si>
  <si>
    <t xml:space="preserve">
CX Sales EM Feedback Fixes and Item References</t>
  </si>
  <si>
    <t>26B NFs</t>
  </si>
  <si>
    <t>26B NFs
CX Sales Base Exam- Peer Review Feedback Fixes (Half Day)</t>
  </si>
  <si>
    <t>Delta Exam: CPQ</t>
  </si>
  <si>
    <t>Delta for Cx Sales</t>
  </si>
  <si>
    <t>Delta Exam: CPQ- Peer Review Fixes</t>
  </si>
  <si>
    <t>Oracle CPQ 2026 Implementation Professional
Impact Analysis- Start</t>
  </si>
  <si>
    <r>
      <rPr>
        <strike/>
        <sz val="12"/>
        <color rgb="FF000000"/>
        <rFont val="Aptos Light"/>
      </rPr>
      <t xml:space="preserve">Oracle CPQ 2026 Implementation Professional
</t>
    </r>
    <r>
      <rPr>
        <sz val="12"/>
        <color rgb="FF000000"/>
        <rFont val="Aptos Light"/>
      </rPr>
      <t xml:space="preserve">
</t>
    </r>
    <r>
      <rPr>
        <b/>
        <sz val="12"/>
        <color rgb="FF000000"/>
        <rFont val="Aptos Light"/>
      </rPr>
      <t>OOO</t>
    </r>
  </si>
  <si>
    <t xml:space="preserve">Oracle CPQ 2026 Implementation Professional
</t>
  </si>
  <si>
    <t>Delta for Cx Sales- Peer Review Fixes</t>
  </si>
  <si>
    <t>Oracle CPQ 2026 Implementation Professional</t>
  </si>
  <si>
    <t xml:space="preserve">Content Dev: Oracle CPQ Cloud : Site Administration
~150–170 slides: </t>
  </si>
  <si>
    <t>Content Dev: Oracle CPQ Cloud : Site Administration</t>
  </si>
  <si>
    <t>Content Dev: Oracle CPQ Cloud : Site Administration
Round 3: MyLearn AI Testing in PROD (Half Day)</t>
  </si>
  <si>
    <t xml:space="preserve">Content Dev: Oracle CPQ 2026 Implementation Professional: Site Admin
</t>
  </si>
  <si>
    <t>Sick Leave OOO</t>
  </si>
  <si>
    <r>
      <t>CX Sales Portfolio analysis</t>
    </r>
    <r>
      <rPr>
        <sz val="11"/>
        <color rgb="FF000000"/>
        <rFont val="Calibri"/>
        <family val="2"/>
        <charset val="1"/>
      </rPr>
      <t> </t>
    </r>
  </si>
  <si>
    <t>Oracle CPQ Cloud : Configuration: Content Dev</t>
  </si>
  <si>
    <t>DD: Oracle AI in Customer Experience Cx Sales</t>
  </si>
  <si>
    <t>Cont Dev: Oracle AI in Customer Experience Cx Sales</t>
  </si>
  <si>
    <r>
      <rPr>
        <b/>
        <sz val="12"/>
        <color rgb="FF000000"/>
        <rFont val="Aptos Narrow"/>
        <scheme val="minor"/>
      </rPr>
      <t>Demo Recordings &amp; LABS</t>
    </r>
    <r>
      <rPr>
        <sz val="12"/>
        <color rgb="FF000000"/>
        <rFont val="Aptos Narrow"/>
        <scheme val="minor"/>
      </rPr>
      <t>: Oracle AI in Customer Experience Cx Sales</t>
    </r>
  </si>
  <si>
    <t>IND Holiday</t>
  </si>
  <si>
    <r>
      <rPr>
        <b/>
        <sz val="12"/>
        <color rgb="FF000000"/>
        <rFont val="Aptos Narrow"/>
        <scheme val="minor"/>
      </rPr>
      <t>Demo Recordings &amp; LABS</t>
    </r>
    <r>
      <rPr>
        <sz val="12"/>
        <color rgb="FF000000"/>
        <rFont val="Aptos Narrow"/>
        <scheme val="minor"/>
      </rPr>
      <t>: Oracle AI in Customer Experience Cx Sales
SNB Catalogue (Half Day)</t>
    </r>
  </si>
  <si>
    <t>HOLD eOPN Partner Event (Ruchika POC)
AG + Skill check (Half Day) AI in Cx</t>
  </si>
  <si>
    <t>Two features in the D02 pod:
1) Deal Pricing AI-Assist Agent
2) Guided Configuration AI-Assist Agent for CPQ Running in Fusion</t>
  </si>
  <si>
    <r>
      <rPr>
        <b/>
        <sz val="12"/>
        <color rgb="FFE97132"/>
        <rFont val="Calibri Light"/>
      </rPr>
      <t xml:space="preserve">Learning Plan Testing - MyLearn UAT
</t>
    </r>
    <r>
      <rPr>
        <sz val="12"/>
        <color rgb="FF000000"/>
        <rFont val="Calibri Light"/>
      </rPr>
      <t xml:space="preserve">
Two features in the D02 pod:
1) Deal Pricing AI-Assist Agent
2) Guided Configuration AI-Assist Agent for CPQ Running in Fusion
</t>
    </r>
  </si>
  <si>
    <t>AI in Marketing: Initial DD</t>
  </si>
  <si>
    <t>IND Holida: Dasara</t>
  </si>
  <si>
    <t>Oracle CPQ Cloud : Pricing: Recording</t>
  </si>
  <si>
    <t>Oracle CPQ Cloud : Integration: Content Dev</t>
  </si>
  <si>
    <t>26D NFs- Remaining ones</t>
  </si>
  <si>
    <t>OOO- Vacation</t>
  </si>
  <si>
    <t>Oracle CPQ Cloud : Integration: Recording</t>
  </si>
  <si>
    <t xml:space="preserve">Extensibility -&gt; </t>
  </si>
  <si>
    <t>Sample T2S</t>
  </si>
  <si>
    <t>Edits for 316 slides for T2S</t>
  </si>
  <si>
    <t>T2S</t>
  </si>
  <si>
    <t>Release</t>
  </si>
  <si>
    <t>Tricia</t>
  </si>
  <si>
    <t xml:space="preserve">BHE
(1/4 Time)
Planning Use Case for AJ:
Planning for End Users incorporating Forecasting using  AI PM Insights for Planning w/  OMBP 2025
</t>
  </si>
  <si>
    <t>BHE
(1/4 Time)
Planning Use Case for AJ:
Planning for End Users incorporating Forecasting using  AI PM Insights for Planning w/  OMBP 2025
Compliance / CSS &amp; GHR</t>
  </si>
  <si>
    <t>BHE
(Full Time)
Intro to Planning
Labor
Projects
EPM FIN
Smartview
Record Use Case Wed</t>
  </si>
  <si>
    <t>PTO
Holiday</t>
  </si>
  <si>
    <t>BHE Potential Quiet Period
ARCS VT Testing per Pavithra as vendor is not available</t>
  </si>
  <si>
    <r>
      <t xml:space="preserve">BHE Potential Quiet Period
ARCS Corrections (24 - 1.2 - 14 days)
</t>
    </r>
    <r>
      <rPr>
        <b/>
        <sz val="10"/>
        <color rgb="FFFF0000"/>
        <rFont val="Aptos Narrow"/>
        <scheme val="minor"/>
      </rPr>
      <t>additional two weeks to fix vendor guide, animations, notes and scripts</t>
    </r>
  </si>
  <si>
    <r>
      <rPr>
        <b/>
        <sz val="10"/>
        <color theme="1"/>
        <rFont val="Aptos Narrow"/>
        <scheme val="minor"/>
      </rPr>
      <t>BHE Deliverable th-f</t>
    </r>
    <r>
      <rPr>
        <sz val="10"/>
        <color theme="1"/>
        <rFont val="Aptos Narrow"/>
        <scheme val="minor"/>
      </rPr>
      <t xml:space="preserve">
ARCS Corrections (24 - 1.2 - 14 days)
</t>
    </r>
    <r>
      <rPr>
        <b/>
        <sz val="10"/>
        <color rgb="FFFF0000"/>
        <rFont val="Aptos Narrow"/>
        <scheme val="minor"/>
      </rPr>
      <t>additional two weeks to fix vendor guide, animations, notes and scripts</t>
    </r>
  </si>
  <si>
    <t xml:space="preserve">BHE Potential Quiet Period
ARCS Recording (24 - 1.2- 14 days)
</t>
  </si>
  <si>
    <t xml:space="preserve">BHE Potential Quiet Period
ARCS Recording (24 - 1.2- 14 days)
Lessons completed Wed
Labs being Thu
</t>
  </si>
  <si>
    <t xml:space="preserve">BHE Potential Quiet Period
ARCS Recording (24 - 1.2- 14 days)
Labs
</t>
  </si>
  <si>
    <t xml:space="preserve">BHE Potential Quiet Period
AI for EPM: Update
</t>
  </si>
  <si>
    <r>
      <rPr>
        <b/>
        <sz val="10"/>
        <color rgb="FFFF0000"/>
        <rFont val="Aptos Narrow"/>
        <scheme val="minor"/>
      </rPr>
      <t>Holiday m</t>
    </r>
    <r>
      <rPr>
        <sz val="10"/>
        <color theme="1"/>
        <rFont val="Aptos Narrow"/>
        <scheme val="minor"/>
      </rPr>
      <t xml:space="preserve">
BHE Potential Quiet Period
</t>
    </r>
    <r>
      <rPr>
        <b/>
        <sz val="10"/>
        <color theme="1"/>
        <rFont val="Aptos Narrow"/>
        <scheme val="minor"/>
      </rPr>
      <t>AI for EPM: Update Design Doc Sep 2</t>
    </r>
    <r>
      <rPr>
        <sz val="10"/>
        <color theme="1"/>
        <rFont val="Aptos Narrow"/>
        <scheme val="minor"/>
      </rPr>
      <t xml:space="preserve">
</t>
    </r>
    <r>
      <rPr>
        <i/>
        <sz val="10"/>
        <color rgb="FFFF0000"/>
        <rFont val="Aptos Narrow"/>
        <scheme val="minor"/>
      </rPr>
      <t xml:space="preserve">
</t>
    </r>
    <r>
      <rPr>
        <sz val="10"/>
        <color theme="1"/>
        <rFont val="Aptos Narrow"/>
        <scheme val="minor"/>
      </rPr>
      <t xml:space="preserve">
</t>
    </r>
  </si>
  <si>
    <r>
      <rPr>
        <b/>
        <sz val="10"/>
        <color rgb="FFFF0000"/>
        <rFont val="Aptos Narrow"/>
        <scheme val="minor"/>
      </rPr>
      <t>Sick f 12th</t>
    </r>
    <r>
      <rPr>
        <sz val="10"/>
        <color theme="1"/>
        <rFont val="Aptos Narrow"/>
        <scheme val="minor"/>
      </rPr>
      <t xml:space="preserve">
BHE Potential Quiet Period
</t>
    </r>
    <r>
      <rPr>
        <b/>
        <sz val="10"/>
        <color theme="1"/>
        <rFont val="Aptos Narrow"/>
        <scheme val="minor"/>
      </rPr>
      <t>AI for EPM: Update Design Doc Sep 2
Content Development thru 11th</t>
    </r>
    <r>
      <rPr>
        <sz val="10"/>
        <color theme="1"/>
        <rFont val="Aptos Narrow"/>
        <scheme val="minor"/>
      </rPr>
      <t xml:space="preserve">
</t>
    </r>
  </si>
  <si>
    <r>
      <t xml:space="preserve">BHE Potential Quiet Period
</t>
    </r>
    <r>
      <rPr>
        <b/>
        <sz val="10"/>
        <color rgb="FFFF0000"/>
        <rFont val="Aptos Narrow"/>
        <scheme val="minor"/>
      </rPr>
      <t>Required AI Training and Certification m &amp; f (due Oct 13)</t>
    </r>
    <r>
      <rPr>
        <sz val="10"/>
        <color theme="1"/>
        <rFont val="Aptos Narrow"/>
        <scheme val="minor"/>
      </rPr>
      <t xml:space="preserve">
</t>
    </r>
    <r>
      <rPr>
        <b/>
        <sz val="10"/>
        <color theme="1"/>
        <rFont val="Aptos Narrow"/>
        <scheme val="minor"/>
      </rPr>
      <t>AI for EPM Record t-th 16-18th
Develop Labs</t>
    </r>
    <r>
      <rPr>
        <sz val="10"/>
        <color theme="1"/>
        <rFont val="Aptos Narrow"/>
        <scheme val="minor"/>
      </rPr>
      <t xml:space="preserve">
</t>
    </r>
  </si>
  <si>
    <r>
      <t xml:space="preserve">BHE Potential Quiet Period
</t>
    </r>
    <r>
      <rPr>
        <b/>
        <sz val="10"/>
        <color theme="1"/>
        <rFont val="Aptos Narrow"/>
        <scheme val="minor"/>
      </rPr>
      <t>AI for EPM Record 3 days</t>
    </r>
    <r>
      <rPr>
        <sz val="10"/>
        <color theme="1"/>
        <rFont val="Aptos Narrow"/>
        <scheme val="minor"/>
      </rPr>
      <t xml:space="preserve">
</t>
    </r>
    <r>
      <rPr>
        <b/>
        <sz val="10"/>
        <color rgb="FFFF0000"/>
        <rFont val="Aptos Narrow"/>
        <scheme val="minor"/>
      </rPr>
      <t xml:space="preserve">Required AI Training and Certification th (due Oct 13) f
</t>
    </r>
    <r>
      <rPr>
        <sz val="10"/>
        <color theme="1"/>
        <rFont val="Aptos Narrow"/>
        <scheme val="minor"/>
      </rPr>
      <t xml:space="preserve">
</t>
    </r>
  </si>
  <si>
    <r>
      <t xml:space="preserve">BHE Potential Quiet Period
</t>
    </r>
    <r>
      <rPr>
        <b/>
        <sz val="10"/>
        <color theme="1"/>
        <rFont val="Aptos Narrow"/>
        <scheme val="minor"/>
      </rPr>
      <t>NF 25.04-25.08</t>
    </r>
    <r>
      <rPr>
        <sz val="10"/>
        <color theme="1"/>
        <rFont val="Aptos Narrow"/>
        <scheme val="minor"/>
      </rPr>
      <t xml:space="preserve">
ARCS (04-06:2)
ARCS (07-09: 7)
Planning (04-06:0)
Planning (07-09:2)
Freeform (04-06:0)
Freeform (07-09:1)
</t>
    </r>
  </si>
  <si>
    <r>
      <rPr>
        <b/>
        <sz val="10"/>
        <color rgb="FFFF0000"/>
        <rFont val="Aptos Narrow"/>
        <scheme val="minor"/>
      </rPr>
      <t>Sick w-th 8th-9th</t>
    </r>
    <r>
      <rPr>
        <sz val="10"/>
        <color theme="1"/>
        <rFont val="Aptos Narrow"/>
        <scheme val="minor"/>
      </rPr>
      <t xml:space="preserve">
BHE Potential Quiet Period
</t>
    </r>
    <r>
      <rPr>
        <b/>
        <sz val="10"/>
        <color rgb="FFFF0000"/>
        <rFont val="Aptos Narrow"/>
        <scheme val="minor"/>
      </rPr>
      <t>COMPLETE AI Certification Exams</t>
    </r>
    <r>
      <rPr>
        <sz val="10"/>
        <color theme="1"/>
        <rFont val="Aptos Narrow"/>
        <scheme val="minor"/>
      </rPr>
      <t xml:space="preserve">
</t>
    </r>
    <r>
      <rPr>
        <b/>
        <sz val="10"/>
        <color theme="1"/>
        <rFont val="Aptos Narrow"/>
        <scheme val="minor"/>
      </rPr>
      <t>NF 25.04-25.08</t>
    </r>
    <r>
      <rPr>
        <sz val="10"/>
        <color theme="1"/>
        <rFont val="Aptos Narrow"/>
        <scheme val="minor"/>
      </rPr>
      <t xml:space="preserve">
ARCS (04-06:2)
ARCS (07-09: 7)
Planning (04-06:0)
Planning (07-09:2)
Freeform (04-06:0)
Freeform (07-09:1)</t>
    </r>
  </si>
  <si>
    <t xml:space="preserve">
BHE Potential Quiet Period
NF 25.04-25.08
ARCS (04-06:2)
ARCS (07-09: 7)
Planning (04-06:0)
Planning (07-09:2)
Freeform (04-06:0)
Freeform (07-09:1)</t>
  </si>
  <si>
    <r>
      <t xml:space="preserve">BHE Potential Quiet Period
</t>
    </r>
    <r>
      <rPr>
        <b/>
        <sz val="10"/>
        <color rgb="FFFF0000"/>
        <rFont val="Aptos Narrow"/>
        <scheme val="minor"/>
      </rPr>
      <t>Complete NF Assessment as needed</t>
    </r>
  </si>
  <si>
    <t>BHE Potential Quiet Period
Update:
Oracle Cloud EPM: Planning Implementation (15 - 1.25)
(5 weeks including content development)
WEEK 1</t>
  </si>
  <si>
    <t xml:space="preserve">BHE Potential Quiet Period
Update:
Oracle Cloud EPM: Planning Implementation (15 - 1.25)
 </t>
  </si>
  <si>
    <t>Update/Rewrite:
Oracle Cloud EPM: Planning Implementation (15 - 1.25) (7 weeks including content development)</t>
  </si>
  <si>
    <t>CPS Energy Customer Event Delivery Day 1</t>
  </si>
  <si>
    <t xml:space="preserve">VT Testing:
Oracle Cloud EPM: Planning Implementation Activity Guide
</t>
  </si>
  <si>
    <t>Record:
Oracle Cloud EPM: Planning Implementation (15 - 1.25)
(Week 1)</t>
  </si>
  <si>
    <t>Live Session on Feb 10th</t>
  </si>
  <si>
    <t>Record:
Oracle Cloud EPM: Planning Implementation (15 - 1.25)
(Week 2)</t>
  </si>
  <si>
    <t>Planning Implementation Skills Checks</t>
  </si>
  <si>
    <t>NF 25.010-25.12
ARCS
Planning</t>
  </si>
  <si>
    <t>AI for EPM Course - Gap Analysis</t>
  </si>
  <si>
    <t>AI course updates - Design Doc and PPT Content Devlopment</t>
  </si>
  <si>
    <t>AI course update - Labs</t>
  </si>
  <si>
    <t>AI course update - Recording</t>
  </si>
  <si>
    <t>Prep for Live Session</t>
  </si>
  <si>
    <t>Live Session - March 19 - Auto Predict vs. Predictive Planning</t>
  </si>
  <si>
    <t>Upskilling, Research, DD Review, R&amp;D:
Oracle Cloud EPM for Sustainability ESG Reporting and Planning
4 Lessons
3 w/ Practices</t>
  </si>
  <si>
    <t>Live Session - April 2 - Designing Custom Navigation Flows in Planning</t>
  </si>
  <si>
    <t>Develop Content:
Oracle Cloud EPM for Sustainability ESG Reporting and Planning
4 Lessons
3 w/ Practices</t>
  </si>
  <si>
    <t>OOO - Apr 8-13</t>
  </si>
  <si>
    <t>OOO - Apr 17-23
UK CeDMA Conference</t>
  </si>
  <si>
    <t>Akash</t>
  </si>
  <si>
    <t>Onboarding</t>
  </si>
  <si>
    <t>Orientation
Familiarization
CLS Access
CLS Environment Access</t>
  </si>
  <si>
    <t>Review HCM/FIN Essentials
Review EPM OMBPs</t>
  </si>
  <si>
    <t>Review HCM/FIN Essentials
Review EPM OMBPs
Prep Tax Reporting
EDMC NF Analysis
(11 NF)
Camtasia should be up by end of week</t>
  </si>
  <si>
    <t>Prep Tax Reporting
Camtasia Training and RCB Access
Complete one Sample Lesson video for Studio Team review</t>
  </si>
  <si>
    <t>25.01-25.03 EDMC NF (11)</t>
  </si>
  <si>
    <t>EDMC VT
Unboxing Video</t>
  </si>
  <si>
    <t xml:space="preserve">Unboxing Video m-t
EDMC Recording
(10 hours) 
(19 Lessons
(First Recording) t-f
</t>
  </si>
  <si>
    <t>NAVIGATOR:
EPM 2 OMBPs for  22-Aug release.
Timeline: 28-Jul to 15-Aug (3 weeks)</t>
  </si>
  <si>
    <t>EDMC Recording
(10 hours) 
(19 Lessons
(First Recording)
three weeks recording
LABS ONLY</t>
  </si>
  <si>
    <t>Tax Reporting VT
(Ron and Sandy updated)</t>
  </si>
  <si>
    <t>Cloud Navigator</t>
  </si>
  <si>
    <t>Tax Reporting Recording
(13 Hours)
(20 Lessons)
(Ron and Sandy updated)</t>
  </si>
  <si>
    <r>
      <rPr>
        <b/>
        <sz val="10"/>
        <color rgb="FFFF0000"/>
        <rFont val="Aptos Narrow"/>
        <scheme val="minor"/>
      </rPr>
      <t>Holiday w-th</t>
    </r>
    <r>
      <rPr>
        <sz val="10"/>
        <color theme="1"/>
        <rFont val="Aptos Narrow"/>
        <scheme val="minor"/>
      </rPr>
      <t xml:space="preserve">
</t>
    </r>
    <r>
      <rPr>
        <b/>
        <sz val="10"/>
        <color rgb="FFFF0000"/>
        <rFont val="Aptos Narrow"/>
        <scheme val="minor"/>
      </rPr>
      <t>COMPLETE AI Certification Sept 29/30 &amp; 3rd m-t &amp; f</t>
    </r>
    <r>
      <rPr>
        <sz val="10"/>
        <color theme="1"/>
        <rFont val="Aptos Narrow"/>
        <scheme val="minor"/>
      </rPr>
      <t xml:space="preserve">
</t>
    </r>
  </si>
  <si>
    <t xml:space="preserve">Tax Reporting Recording
(13 Hours)
(20 Lessons)
(Ron and Sandy updated)
</t>
  </si>
  <si>
    <t>Tax Reporting Recording
(13 Hours)
(20 Lessons)
(Ron and Sandy updated) Mon-Wed
EPM Essentials (Design Doc) th-fri</t>
  </si>
  <si>
    <r>
      <t>H</t>
    </r>
    <r>
      <rPr>
        <b/>
        <sz val="10"/>
        <color rgb="FFFF0000"/>
        <rFont val="Aptos Narrow"/>
        <scheme val="minor"/>
      </rPr>
      <t>oliday m-t
PTO w-f</t>
    </r>
  </si>
  <si>
    <t>EPM Essentials (pending Navigator Assignments)
(Time required TBD)</t>
  </si>
  <si>
    <t>EPM Essentials
Week 2
FCCS, ARCS, NR
Recording th-f</t>
  </si>
  <si>
    <t>VT of  TRCS &amp; FCCS &amp; EPCM &amp; ARCS on EPM Cloud Env</t>
  </si>
  <si>
    <t>EPM Process Essesntials Certification</t>
  </si>
  <si>
    <t>Paternity Leave 1</t>
  </si>
  <si>
    <t>25.04-25.12 NF
EDMC
EPCM
EPM Common
Tax
FCC
-
Analyze
++ Uplift NR 3 courses AG</t>
  </si>
  <si>
    <t xml:space="preserve">Live Session th 8th
New features in EDM
</t>
  </si>
  <si>
    <t xml:space="preserve">25.04-25.12 NF
EDMC
EPCM
EPM Common
Tax
FCC
-
Analyze
TRCS AG-4, AG-18 video's re-record </t>
  </si>
  <si>
    <t xml:space="preserve">TRCS AG-21 video's re-record (report preview not saved)
</t>
  </si>
  <si>
    <t>Uplift NR 3 courses AG</t>
  </si>
  <si>
    <t>Prep. Live Session th 29th</t>
  </si>
  <si>
    <t xml:space="preserve">Live Session th 29th
Predictive cash forecasting
</t>
  </si>
  <si>
    <t xml:space="preserve">Uplift NR 3 courses AG 
</t>
  </si>
  <si>
    <t>25.04-25.09 NF
EDMC
EPCM
EPM Common
Tax
FCC
-
Content Prep and Recording</t>
  </si>
  <si>
    <t>25.04-25.09 NF
EDMC
EPCM
EPM Common
Tax
FCC
-
Content Prep and Recording
Uplift NR 3 courses AG (3 hrs)</t>
  </si>
  <si>
    <r>
      <rPr>
        <sz val="10"/>
        <color rgb="FF000000"/>
        <rFont val="Aptos Narrow"/>
        <scheme val="minor"/>
      </rPr>
      <t xml:space="preserve">25.04-25.09 NF
EDMC
EPCM
EPM Common
Tax
FCC
-
Content Prep and Recording
</t>
    </r>
    <r>
      <rPr>
        <b/>
        <sz val="10"/>
        <color rgb="FF000000"/>
        <rFont val="Aptos Narrow"/>
        <scheme val="minor"/>
      </rPr>
      <t>Live Session Prep (Hald Day)</t>
    </r>
  </si>
  <si>
    <r>
      <rPr>
        <b/>
        <sz val="10"/>
        <color rgb="FF000000"/>
        <rFont val="Aptos Narrow"/>
        <scheme val="minor"/>
      </rPr>
      <t xml:space="preserve">Live Session th 12 Feb
EDMCS NFs
</t>
    </r>
    <r>
      <rPr>
        <sz val="10"/>
        <color rgb="FF000000"/>
        <rFont val="Aptos Narrow"/>
        <scheme val="minor"/>
      </rPr>
      <t>Confirmation from Sutdio received for Recording Go-Ahead for NFs</t>
    </r>
  </si>
  <si>
    <t>NR AG Transcript Review &amp; Update (Half Day)
25.04-25.09 NF
EDMC
EPCM
EPM Common
Tax
FCC
-
Content Prep and Recording</t>
  </si>
  <si>
    <t>25.04-25.09 NF
EPCM
Content Prep and Recording</t>
  </si>
  <si>
    <t>Live Session - March 11 - EDMCS NFs. 
EPCM NFs</t>
  </si>
  <si>
    <t>Narrative Reporting:  Ramp-up</t>
  </si>
  <si>
    <t>Narrative Reporting:  AG</t>
  </si>
  <si>
    <t>25.04-25.09 NF
Narrative Rreporting Nfs
Content Prep and Recording</t>
  </si>
  <si>
    <t>25.04-25.09 NF
Commom Nfs
Content Prep and Recording</t>
  </si>
  <si>
    <t>Common NFs
Unboxing Video</t>
  </si>
  <si>
    <t xml:space="preserve">Admin Planning Modules
</t>
  </si>
  <si>
    <t xml:space="preserve">Live Session - April 22 - Explore EPM Planning Modules </t>
  </si>
  <si>
    <t>NR AG testing</t>
  </si>
  <si>
    <t>Admin Planning Modules
NG AG Testing (Half Day)</t>
  </si>
  <si>
    <t xml:space="preserve">Admin Planning Modules
</t>
  </si>
  <si>
    <t>Admin Planning Modules
PM Fixes- NR VT Fix</t>
  </si>
  <si>
    <t>PPT Fixes
Half-Day off work</t>
  </si>
  <si>
    <t xml:space="preserve">Admin Planning Modules
</t>
  </si>
  <si>
    <r>
      <rPr>
        <strike/>
        <sz val="11"/>
        <color rgb="FF000000"/>
        <rFont val="Aptos Narrow"/>
        <scheme val="minor"/>
      </rPr>
      <t xml:space="preserve">Admin Planning Modules
</t>
    </r>
    <r>
      <rPr>
        <sz val="11"/>
        <color rgb="FF000000"/>
        <rFont val="Aptos Narrow"/>
        <scheme val="minor"/>
      </rPr>
      <t xml:space="preserve">
OOO- Sick
</t>
    </r>
  </si>
  <si>
    <t>Admin Planning Modules
Content Dev Ends- PPT</t>
  </si>
  <si>
    <t>Admin Planning Modules
Case Study- Content Dev</t>
  </si>
  <si>
    <t>Admin Planning Modules
Recording Case Studies</t>
  </si>
  <si>
    <t>Admin Planning Modules
Content Dev- AG</t>
  </si>
  <si>
    <t xml:space="preserve">Admin Planning Modules- Working Sessions for PPT Fixes
</t>
  </si>
  <si>
    <t>Paternity Leave 2</t>
  </si>
  <si>
    <t xml:space="preserve"> OMBP : Process Essential (Half Day)
Admin Planning Modules
Content Dev-  PPT Fixes (Half Day)</t>
  </si>
  <si>
    <t>Admin Planning Modules
Content Dev-  PPT Fixes</t>
  </si>
  <si>
    <t>Admin Planning Modules
AG Content Dev</t>
  </si>
  <si>
    <t>Live Session - EPM - Prep</t>
  </si>
  <si>
    <t>Live Session - EPM - Jun 25 
+
Data load issue (Community Question)</t>
  </si>
  <si>
    <t>(Appln Down)</t>
  </si>
  <si>
    <t>EPM Portfolio Review Meeting Prep</t>
  </si>
  <si>
    <r>
      <rPr>
        <strike/>
        <sz val="11"/>
        <color rgb="FF000000"/>
        <rFont val="Aptos Narrow"/>
        <scheme val="minor"/>
      </rPr>
      <t>Admin Planning Modules
AG Content Dev</t>
    </r>
    <r>
      <rPr>
        <sz val="11"/>
        <color rgb="FF000000"/>
        <rFont val="Aptos Narrow"/>
        <scheme val="minor"/>
      </rPr>
      <t xml:space="preserve"> 
</t>
    </r>
    <r>
      <rPr>
        <b/>
        <sz val="11"/>
        <color rgb="FF000000"/>
        <rFont val="Aptos Narrow"/>
        <scheme val="minor"/>
      </rPr>
      <t xml:space="preserve">
OOO (Sick Leave)</t>
    </r>
  </si>
  <si>
    <r>
      <rPr>
        <strike/>
        <sz val="11"/>
        <color rgb="FF000000"/>
        <rFont val="Aptos Narrow"/>
        <scheme val="minor"/>
      </rPr>
      <t xml:space="preserve">Admin Planning Modules
Case Study
</t>
    </r>
    <r>
      <rPr>
        <sz val="11"/>
        <color rgb="FF000000"/>
        <rFont val="Aptos Narrow"/>
        <scheme val="minor"/>
      </rPr>
      <t xml:space="preserve">
</t>
    </r>
    <r>
      <rPr>
        <b/>
        <sz val="11"/>
        <color rgb="FF000000"/>
        <rFont val="Aptos Narrow"/>
        <scheme val="minor"/>
      </rPr>
      <t>OOO (Sick Leave)</t>
    </r>
  </si>
  <si>
    <t>Admin Planning Modules
AG Content DEV + PPT Fixes + Recording Ag2 for Demo</t>
  </si>
  <si>
    <t>Live Session - EPM - Jul 23</t>
  </si>
  <si>
    <t>Admin Planning Modules
Recording</t>
  </si>
  <si>
    <t>Admin Planning Modules
Recording (Half Day)
**Customer Query - 260725-000083 (Half Day)</t>
  </si>
  <si>
    <t>Admin Planning Modules
Case Study</t>
  </si>
  <si>
    <t>SmartView for Plannin, FCCS &amp; ARCS Courses Analysis</t>
  </si>
  <si>
    <t xml:space="preserve">Admin Planning- Clousre tasks 
Live Session </t>
  </si>
  <si>
    <t>Oracle AI in Enterprise Performance Management (EPM) (Including EPM Assistant): DD (Half Day)</t>
  </si>
  <si>
    <t>Oracle AI in Enterprise Performance Management (EPM) (Including EPM Assistant): DD, Scope Confirm, Env  Feasibility Check.</t>
  </si>
  <si>
    <t>Oracle AI in Enterprise Performance Management (EPM) (Including EPM Assistant): Content Dev</t>
  </si>
  <si>
    <t>OPN Partner Session - Prep + Session</t>
  </si>
  <si>
    <t>Oracle AI in Enterprise Performance Management (EPM) (Including EPM Assistant): RECORD- Gen &amp; Pred Ai</t>
  </si>
  <si>
    <t>AG - Admin Planning Relook</t>
  </si>
  <si>
    <t>Oracle AI in Enterprise Performance Management (EPM) (Including EPM Assistant): RECORD- EPM Assistant</t>
  </si>
  <si>
    <t>Oracle AI in Enterprise Performance Management (EPM) (Including EPM Assistant): Skill Check</t>
  </si>
  <si>
    <t>EPM for Sustainability: DD</t>
  </si>
  <si>
    <t>EPM for Sustainability</t>
  </si>
  <si>
    <t>Ind Holiday- Dasara</t>
  </si>
  <si>
    <r>
      <t>EPM</t>
    </r>
    <r>
      <rPr>
        <sz val="12"/>
        <color rgb="FF000000"/>
        <rFont val="Aptos"/>
        <charset val="1"/>
      </rPr>
      <t> for Sustainability </t>
    </r>
  </si>
  <si>
    <t>EPM for Sustainability </t>
  </si>
  <si>
    <t>Paternity 3</t>
  </si>
  <si>
    <t>Paternity</t>
  </si>
  <si>
    <t>AG Recording</t>
  </si>
  <si>
    <t>NR NFs</t>
  </si>
  <si>
    <t>Common NFs</t>
  </si>
  <si>
    <t>Admin Planning Modules
(8.5 hours)
(4 weeks including content development)
(m&amp;f only)</t>
  </si>
  <si>
    <t>PPT Complete Planned</t>
  </si>
  <si>
    <t>AG Record start</t>
  </si>
  <si>
    <t>Planned end date for Admin Planning</t>
  </si>
  <si>
    <t>AI Agents in EPM</t>
  </si>
  <si>
    <r>
      <rPr>
        <sz val="11"/>
        <color rgb="FF000000"/>
        <rFont val="Aptos Narrow"/>
        <scheme val="minor"/>
      </rPr>
      <t xml:space="preserve">
</t>
    </r>
    <r>
      <rPr>
        <sz val="11"/>
        <color rgb="FF000000"/>
        <rFont val="Aptos Narrow"/>
        <scheme val="minor"/>
      </rPr>
      <t xml:space="preserve">
Predictive Cash Forecasting </t>
    </r>
  </si>
  <si>
    <t>EPCM</t>
  </si>
  <si>
    <t>PPT Finish</t>
  </si>
  <si>
    <t>Case Study</t>
  </si>
  <si>
    <t>Projected End- Admin Planning</t>
  </si>
  <si>
    <t>Update as of May 5</t>
  </si>
  <si>
    <t>Update as of May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</si>
</sst>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7030A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trike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trike/>
      <sz val="10"/>
      <color rgb="FF7030A0"/>
      <name val="Aptos Narrow"/>
      <family val="2"/>
      <scheme val="minor"/>
    </font>
    <font>
      <b/>
      <sz val="12"/>
      <color rgb="FF000000"/>
      <name val="Calibri"/>
      <family val="2"/>
    </font>
    <font>
      <b/>
      <sz val="10"/>
      <color theme="5"/>
      <name val="Aptos Narrow"/>
      <family val="2"/>
      <scheme val="minor"/>
    </font>
    <font>
      <b/>
      <sz val="10"/>
      <color rgb="FF000000"/>
      <name val="Calibri"/>
      <family val="2"/>
    </font>
    <font>
      <b/>
      <i/>
      <sz val="10"/>
      <color theme="1"/>
      <name val="Aptos Narrow"/>
      <family val="2"/>
      <scheme val="minor"/>
    </font>
    <font>
      <b/>
      <strike/>
      <sz val="10"/>
      <color rgb="FFFF0000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sz val="10"/>
      <name val="Aptos Narrow"/>
      <family val="2"/>
    </font>
    <font>
      <b/>
      <strike/>
      <sz val="10"/>
      <color rgb="FFFF0000"/>
      <name val="Aptos Narrow"/>
      <family val="2"/>
    </font>
    <font>
      <strike/>
      <sz val="10"/>
      <color rgb="FF000000"/>
      <name val="Aptos Narrow"/>
      <family val="2"/>
    </font>
    <font>
      <strike/>
      <sz val="10"/>
      <color rgb="FF000000"/>
      <name val="Aptos Narrow"/>
      <scheme val="minor"/>
    </font>
    <font>
      <b/>
      <strike/>
      <sz val="10"/>
      <color rgb="FF000000"/>
      <name val="Aptos Narrow"/>
    </font>
    <font>
      <b/>
      <sz val="10"/>
      <color rgb="FF000000"/>
      <name val="Aptos Narrow"/>
    </font>
    <font>
      <b/>
      <sz val="10"/>
      <color rgb="FFFF0000"/>
      <name val="Aptos Narrow"/>
    </font>
    <font>
      <sz val="10"/>
      <color rgb="FF000000"/>
      <name val="Aptos Narrow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D0D0D"/>
      <name val="Calibri"/>
      <family val="2"/>
    </font>
    <font>
      <b/>
      <sz val="10"/>
      <name val="Calibri"/>
      <family val="2"/>
    </font>
    <font>
      <b/>
      <sz val="10"/>
      <color rgb="FF7030A0"/>
      <name val="Calibri"/>
      <family val="2"/>
    </font>
    <font>
      <b/>
      <sz val="10"/>
      <color rgb="FFFFFFFF"/>
      <name val="Aptos Narrow"/>
    </font>
    <font>
      <b/>
      <sz val="10"/>
      <color rgb="FFFF0000"/>
      <name val="Calibri"/>
    </font>
    <font>
      <b/>
      <sz val="10"/>
      <color rgb="FF7030A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2"/>
      <color rgb="FF000000"/>
      <name val="Aptos Narrow"/>
      <family val="2"/>
    </font>
    <font>
      <sz val="16"/>
      <color rgb="FF161513"/>
      <name val="Arial"/>
      <family val="2"/>
    </font>
    <font>
      <sz val="10"/>
      <color rgb="FFFF66FF"/>
      <name val="Calibri"/>
    </font>
    <font>
      <b/>
      <sz val="10"/>
      <color rgb="FFFF66FF"/>
      <name val="Calibri"/>
    </font>
    <font>
      <sz val="10"/>
      <color rgb="FFFF0000"/>
      <name val="Calibri"/>
    </font>
    <font>
      <b/>
      <sz val="12"/>
      <color rgb="FF000000"/>
      <name val="Aptos Narrow"/>
      <family val="2"/>
    </font>
    <font>
      <b/>
      <i/>
      <sz val="10"/>
      <color rgb="FF000000"/>
      <name val="Aptos Narrow"/>
    </font>
    <font>
      <b/>
      <strike/>
      <sz val="10"/>
      <color rgb="FF000000"/>
      <name val="Aptos Narrow"/>
      <family val="2"/>
    </font>
    <font>
      <b/>
      <sz val="10"/>
      <color rgb="FFFF0000"/>
      <name val="Aptos Narrow"/>
      <scheme val="minor"/>
    </font>
    <font>
      <i/>
      <sz val="10"/>
      <color rgb="FFFF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0"/>
      <name val="Aptos Narrow"/>
      <scheme val="minor"/>
    </font>
    <font>
      <sz val="10"/>
      <name val="Aptos Narrow"/>
      <scheme val="minor"/>
    </font>
    <font>
      <b/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0"/>
      <color rgb="FFFF0000"/>
      <name val="Aptos Narrow"/>
      <scheme val="minor"/>
    </font>
    <font>
      <sz val="10"/>
      <name val="Calibri"/>
    </font>
    <font>
      <b/>
      <sz val="10"/>
      <color rgb="FF0D0D0D"/>
      <name val="Calibri"/>
    </font>
    <font>
      <sz val="10"/>
      <color rgb="FF0D0D0D"/>
      <name val="Calibri"/>
    </font>
    <font>
      <b/>
      <sz val="10"/>
      <color theme="4"/>
      <name val="Calibri"/>
      <family val="2"/>
    </font>
    <font>
      <b/>
      <sz val="10"/>
      <color theme="4"/>
      <name val="Calibri"/>
    </font>
    <font>
      <b/>
      <strike/>
      <sz val="10"/>
      <color rgb="FF000000"/>
      <name val="Aptos Narrow"/>
      <scheme val="minor"/>
    </font>
    <font>
      <b/>
      <sz val="10"/>
      <color rgb="FF156082"/>
      <name val="Calibri"/>
      <family val="2"/>
    </font>
    <font>
      <b/>
      <strike/>
      <sz val="10"/>
      <color rgb="FF000000"/>
      <name val="Calibri"/>
    </font>
    <font>
      <b/>
      <sz val="10"/>
      <color theme="4"/>
      <name val="Aptos Narrow"/>
    </font>
    <font>
      <sz val="10"/>
      <color rgb="FF000000"/>
      <name val="Aptos Narrow"/>
      <charset val="1"/>
    </font>
    <font>
      <b/>
      <sz val="10"/>
      <name val="Calibri"/>
    </font>
    <font>
      <strike/>
      <sz val="10"/>
      <color rgb="FF000000"/>
      <name val="Calibri"/>
    </font>
    <font>
      <i/>
      <sz val="10"/>
      <color rgb="FF000000"/>
      <name val="Calibri"/>
    </font>
    <font>
      <sz val="9"/>
      <color rgb="FF000000"/>
      <name val="Aptos Light"/>
      <family val="2"/>
    </font>
    <font>
      <sz val="9"/>
      <color rgb="FF000000"/>
      <name val="Aptos Light"/>
    </font>
    <font>
      <b/>
      <sz val="9"/>
      <color theme="9" tint="-0.499984740745262"/>
      <name val="Aptos Light"/>
      <family val="2"/>
    </font>
    <font>
      <u/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b/>
      <sz val="9"/>
      <color rgb="FF000000"/>
      <name val="Aptos Light"/>
    </font>
    <font>
      <sz val="10"/>
      <color rgb="FFFF0000"/>
      <name val="Aptos Narrow"/>
      <family val="2"/>
      <scheme val="minor"/>
    </font>
    <font>
      <b/>
      <sz val="10"/>
      <color rgb="FF275317"/>
      <name val="Calibri"/>
    </font>
    <font>
      <b/>
      <sz val="10"/>
      <color theme="1"/>
      <name val="Calibri"/>
      <family val="2"/>
    </font>
    <font>
      <sz val="12"/>
      <color rgb="FF000000"/>
      <name val="Aptos Light"/>
      <charset val="1"/>
    </font>
    <font>
      <strike/>
      <sz val="9"/>
      <color rgb="FF000000"/>
      <name val="Aptos Light"/>
    </font>
    <font>
      <strike/>
      <sz val="10"/>
      <color theme="1"/>
      <name val="Aptos Narrow"/>
      <family val="2"/>
      <scheme val="minor"/>
    </font>
    <font>
      <b/>
      <sz val="12"/>
      <color rgb="FFFF0000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9"/>
      <color theme="9" tint="-0.499984740745262"/>
      <name val="Aptos Light"/>
    </font>
    <font>
      <b/>
      <sz val="9"/>
      <color rgb="FF000000"/>
      <name val="Aptos Light"/>
      <family val="2"/>
    </font>
    <font>
      <b/>
      <i/>
      <strike/>
      <sz val="10"/>
      <color rgb="FF000000"/>
      <name val="Calibri"/>
    </font>
    <font>
      <i/>
      <strike/>
      <sz val="10"/>
      <color rgb="FF000000"/>
      <name val="Calibri"/>
    </font>
    <font>
      <sz val="10"/>
      <color rgb="FF000000"/>
      <name val="Calibri"/>
      <charset val="1"/>
    </font>
    <font>
      <b/>
      <sz val="11"/>
      <color theme="0"/>
      <name val="Aptos Narrow"/>
      <family val="2"/>
      <scheme val="minor"/>
    </font>
    <font>
      <strike/>
      <sz val="10"/>
      <color rgb="FFFF0000"/>
      <name val="Calibri"/>
      <family val="2"/>
    </font>
    <font>
      <strike/>
      <sz val="10"/>
      <color rgb="FFFF0000"/>
      <name val="Calibri"/>
    </font>
    <font>
      <b/>
      <strike/>
      <sz val="10"/>
      <color rgb="FFFF0000"/>
      <name val="Calibri"/>
    </font>
    <font>
      <strike/>
      <sz val="10"/>
      <color rgb="FFFF0000"/>
      <name val="Aptos Narrow"/>
      <family val="2"/>
      <scheme val="minor"/>
    </font>
    <font>
      <b/>
      <strike/>
      <sz val="10"/>
      <color rgb="FFFF0000"/>
      <name val="Calibri"/>
      <family val="2"/>
    </font>
    <font>
      <sz val="11"/>
      <color rgb="FF000000"/>
      <name val="Calibri"/>
      <family val="2"/>
      <charset val="1"/>
    </font>
    <font>
      <b/>
      <u/>
      <sz val="10"/>
      <color theme="0"/>
      <name val="Aptos Narrow"/>
      <family val="2"/>
      <scheme val="minor"/>
    </font>
    <font>
      <b/>
      <sz val="9"/>
      <color rgb="FF000000"/>
      <name val="Aptos Display"/>
    </font>
    <font>
      <sz val="9"/>
      <color rgb="FF000000"/>
      <name val="Aptos Display"/>
    </font>
    <font>
      <strike/>
      <sz val="12"/>
      <color rgb="FF000000"/>
      <name val="Aptos Light"/>
    </font>
    <font>
      <sz val="12"/>
      <color rgb="FF000000"/>
      <name val="Aptos Light"/>
    </font>
    <font>
      <b/>
      <sz val="12"/>
      <color rgb="FF000000"/>
      <name val="Aptos Light"/>
    </font>
    <font>
      <strike/>
      <sz val="11"/>
      <color rgb="FF000000"/>
      <name val="Aptos Narrow"/>
      <scheme val="minor"/>
    </font>
    <font>
      <sz val="10"/>
      <color rgb="FF7030A0"/>
      <name val="Calibri"/>
    </font>
    <font>
      <sz val="11"/>
      <color rgb="FF000000"/>
      <name val="Aptos Narrow"/>
      <charset val="1"/>
    </font>
    <font>
      <sz val="10"/>
      <color theme="1"/>
      <name val="Aptos Narrow"/>
    </font>
    <font>
      <b/>
      <sz val="12"/>
      <color rgb="FF000000"/>
      <name val="Aptos Light"/>
      <charset val="1"/>
    </font>
    <font>
      <sz val="11"/>
      <color rgb="FF242424"/>
      <name val="Aptos Narrow"/>
      <charset val="1"/>
    </font>
    <font>
      <b/>
      <i/>
      <sz val="10"/>
      <color rgb="FFFF66FF"/>
      <name val="Calibri"/>
    </font>
    <font>
      <sz val="11"/>
      <color rgb="FF000000"/>
      <name val="Aptos Narrow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275317"/>
      <name val="Aptos Narrow"/>
      <scheme val="minor"/>
    </font>
    <font>
      <b/>
      <sz val="10"/>
      <color rgb="FF000000"/>
      <name val="Calibri"/>
      <charset val="1"/>
    </font>
    <font>
      <sz val="10"/>
      <color rgb="FFE97132"/>
      <name val="Aptos Narrow"/>
      <scheme val="minor"/>
    </font>
    <font>
      <sz val="10"/>
      <color rgb="FF156082"/>
      <name val="Aptos Narrow"/>
    </font>
    <font>
      <b/>
      <sz val="10"/>
      <color rgb="FFE97132"/>
      <name val="Aptos Narrow"/>
    </font>
    <font>
      <sz val="11"/>
      <color rgb="FF242424"/>
      <name val="Aptos Narrow"/>
    </font>
    <font>
      <sz val="12"/>
      <color rgb="FF000000"/>
      <name val="Calibri Light"/>
      <charset val="1"/>
    </font>
    <font>
      <b/>
      <sz val="11"/>
      <color rgb="FF000000"/>
      <name val="Calibri"/>
      <charset val="1"/>
    </font>
    <font>
      <sz val="14"/>
      <color theme="1"/>
      <name val="Aptos Narrow"/>
      <scheme val="minor"/>
    </font>
    <font>
      <sz val="10"/>
      <color rgb="FFE97132"/>
      <name val="Aptos Narrow"/>
    </font>
    <font>
      <sz val="10"/>
      <color rgb="FF44B3E1"/>
      <name val="Aptos Narrow"/>
    </font>
    <font>
      <sz val="10"/>
      <color rgb="FFFFC000"/>
      <name val="Aptos Narrow"/>
    </font>
    <font>
      <sz val="10"/>
      <color rgb="FFE97132"/>
      <name val="Calibri"/>
    </font>
    <font>
      <b/>
      <sz val="11"/>
      <color rgb="FF242424"/>
      <name val="Aptos Narrow"/>
    </font>
    <font>
      <sz val="10"/>
      <color rgb="FF0E2841"/>
      <name val="Aptos Narrow"/>
      <scheme val="minor"/>
    </font>
    <font>
      <strike/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trike/>
      <sz val="10"/>
      <color rgb="FF000000"/>
      <name val="Aptos Narrow"/>
    </font>
    <font>
      <b/>
      <sz val="10"/>
      <color rgb="FF156082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A02B93"/>
      <name val="Aptos Narrow"/>
      <scheme val="minor"/>
    </font>
    <font>
      <sz val="11"/>
      <color theme="8"/>
      <name val="Aptos"/>
      <family val="2"/>
      <charset val="1"/>
    </font>
    <font>
      <sz val="10"/>
      <color rgb="FF156082"/>
      <name val="Aptos Narrow"/>
      <scheme val="minor"/>
    </font>
    <font>
      <sz val="12"/>
      <color rgb="FF000000"/>
      <name val="Calibri Light"/>
    </font>
    <font>
      <b/>
      <sz val="12"/>
      <color rgb="FFE97132"/>
      <name val="Calibri Light"/>
    </font>
    <font>
      <b/>
      <sz val="14"/>
      <color theme="1"/>
      <name val="Aptos Narrow"/>
      <scheme val="minor"/>
    </font>
    <font>
      <b/>
      <sz val="12"/>
      <color rgb="FF000000"/>
      <name val="Aptos Narrow"/>
    </font>
    <font>
      <sz val="12"/>
      <color rgb="FF000000"/>
      <name val="Aptos"/>
      <charset val="1"/>
    </font>
    <font>
      <b/>
      <sz val="10"/>
      <color rgb="FF275317"/>
      <name val="Aptos Narrow"/>
      <scheme val="minor"/>
    </font>
    <font>
      <sz val="11"/>
      <color rgb="FFFF0000"/>
      <name val="Aptos Narrow"/>
    </font>
  </fonts>
  <fills count="5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CDA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0DFA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BFFE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E5E4F7"/>
        <bgColor indexed="64"/>
      </patternFill>
    </fill>
    <fill>
      <patternFill patternType="solid">
        <fgColor rgb="FFE5E4F7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01">
    <xf numFmtId="0" fontId="0" fillId="0" borderId="0" xfId="0"/>
    <xf numFmtId="16" fontId="5" fillId="2" borderId="1" xfId="0" applyNumberFormat="1" applyFont="1" applyFill="1" applyBorder="1" applyAlignment="1">
      <alignment horizontal="center" vertical="top" wrapText="1"/>
    </xf>
    <xf numFmtId="0" fontId="4" fillId="0" borderId="0" xfId="0" applyFont="1"/>
    <xf numFmtId="0" fontId="0" fillId="0" borderId="1" xfId="0" applyBorder="1"/>
    <xf numFmtId="0" fontId="5" fillId="5" borderId="1" xfId="0" applyFont="1" applyFill="1" applyBorder="1" applyAlignment="1">
      <alignment horizontal="left"/>
    </xf>
    <xf numFmtId="16" fontId="5" fillId="5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4" fontId="5" fillId="2" borderId="1" xfId="0" applyNumberFormat="1" applyFont="1" applyFill="1" applyBorder="1" applyAlignment="1">
      <alignment horizontal="center" vertical="top" wrapText="1"/>
    </xf>
    <xf numFmtId="164" fontId="4" fillId="0" borderId="0" xfId="0" applyNumberFormat="1" applyFont="1"/>
    <xf numFmtId="0" fontId="9" fillId="6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6" fillId="18" borderId="3" xfId="0" applyFont="1" applyFill="1" applyBorder="1" applyAlignment="1">
      <alignment wrapText="1"/>
    </xf>
    <xf numFmtId="0" fontId="27" fillId="19" borderId="8" xfId="0" applyFont="1" applyFill="1" applyBorder="1" applyAlignment="1">
      <alignment wrapText="1"/>
    </xf>
    <xf numFmtId="16" fontId="27" fillId="19" borderId="8" xfId="0" applyNumberFormat="1" applyFont="1" applyFill="1" applyBorder="1" applyAlignment="1">
      <alignment wrapText="1"/>
    </xf>
    <xf numFmtId="0" fontId="4" fillId="0" borderId="9" xfId="0" applyFont="1" applyBorder="1" applyAlignment="1">
      <alignment vertical="center" wrapText="1"/>
    </xf>
    <xf numFmtId="16" fontId="5" fillId="2" borderId="5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38" fillId="0" borderId="1" xfId="0" applyFont="1" applyBorder="1" applyAlignment="1">
      <alignment vertical="center" wrapText="1"/>
    </xf>
    <xf numFmtId="0" fontId="36" fillId="23" borderId="6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16" fontId="49" fillId="29" borderId="9" xfId="0" applyNumberFormat="1" applyFont="1" applyFill="1" applyBorder="1" applyAlignment="1">
      <alignment horizontal="center"/>
    </xf>
    <xf numFmtId="0" fontId="0" fillId="29" borderId="0" xfId="0" applyFill="1"/>
    <xf numFmtId="0" fontId="49" fillId="29" borderId="9" xfId="0" applyFont="1" applyFill="1" applyBorder="1" applyAlignment="1">
      <alignment horizontal="center"/>
    </xf>
    <xf numFmtId="0" fontId="0" fillId="17" borderId="0" xfId="0" applyFill="1"/>
    <xf numFmtId="16" fontId="49" fillId="8" borderId="9" xfId="0" applyNumberFormat="1" applyFont="1" applyFill="1" applyBorder="1" applyAlignment="1">
      <alignment horizontal="center"/>
    </xf>
    <xf numFmtId="0" fontId="50" fillId="8" borderId="9" xfId="0" applyFont="1" applyFill="1" applyBorder="1" applyAlignment="1">
      <alignment horizontal="center"/>
    </xf>
    <xf numFmtId="0" fontId="49" fillId="8" borderId="9" xfId="0" applyFont="1" applyFill="1" applyBorder="1" applyAlignment="1">
      <alignment horizontal="center"/>
    </xf>
    <xf numFmtId="0" fontId="0" fillId="30" borderId="0" xfId="0" applyFill="1"/>
    <xf numFmtId="0" fontId="0" fillId="9" borderId="0" xfId="0" applyFill="1"/>
    <xf numFmtId="0" fontId="26" fillId="18" borderId="1" xfId="0" applyFont="1" applyFill="1" applyBorder="1" applyAlignment="1">
      <alignment horizontal="left"/>
    </xf>
    <xf numFmtId="16" fontId="27" fillId="19" borderId="6" xfId="0" applyNumberFormat="1" applyFont="1" applyFill="1" applyBorder="1" applyAlignment="1">
      <alignment horizontal="left" wrapText="1"/>
    </xf>
    <xf numFmtId="0" fontId="27" fillId="19" borderId="6" xfId="0" applyFont="1" applyFill="1" applyBorder="1" applyAlignment="1">
      <alignment horizontal="left" wrapText="1"/>
    </xf>
    <xf numFmtId="0" fontId="25" fillId="6" borderId="9" xfId="0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16" fontId="44" fillId="32" borderId="1" xfId="0" applyNumberFormat="1" applyFont="1" applyFill="1" applyBorder="1" applyAlignment="1">
      <alignment vertical="top" wrapText="1"/>
    </xf>
    <xf numFmtId="16" fontId="44" fillId="19" borderId="6" xfId="0" applyNumberFormat="1" applyFont="1" applyFill="1" applyBorder="1" applyAlignment="1">
      <alignment vertical="top" wrapText="1"/>
    </xf>
    <xf numFmtId="16" fontId="44" fillId="19" borderId="4" xfId="0" applyNumberFormat="1" applyFont="1" applyFill="1" applyBorder="1" applyAlignment="1">
      <alignment vertical="top" wrapText="1"/>
    </xf>
    <xf numFmtId="16" fontId="44" fillId="19" borderId="2" xfId="0" applyNumberFormat="1" applyFont="1" applyFill="1" applyBorder="1" applyAlignment="1">
      <alignment vertical="top" wrapText="1"/>
    </xf>
    <xf numFmtId="16" fontId="27" fillId="19" borderId="7" xfId="0" applyNumberFormat="1" applyFont="1" applyFill="1" applyBorder="1" applyAlignment="1">
      <alignment wrapText="1"/>
    </xf>
    <xf numFmtId="0" fontId="59" fillId="0" borderId="0" xfId="0" applyFont="1"/>
    <xf numFmtId="16" fontId="60" fillId="15" borderId="7" xfId="0" applyNumberFormat="1" applyFont="1" applyFill="1" applyBorder="1"/>
    <xf numFmtId="16" fontId="60" fillId="4" borderId="7" xfId="0" applyNumberFormat="1" applyFont="1" applyFill="1" applyBorder="1"/>
    <xf numFmtId="164" fontId="61" fillId="2" borderId="1" xfId="0" applyNumberFormat="1" applyFont="1" applyFill="1" applyBorder="1" applyAlignment="1">
      <alignment horizontal="center" vertical="top" wrapText="1"/>
    </xf>
    <xf numFmtId="0" fontId="59" fillId="0" borderId="1" xfId="0" applyFont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62" fillId="16" borderId="1" xfId="0" applyFont="1" applyFill="1" applyBorder="1" applyAlignment="1">
      <alignment horizontal="left" vertical="center" wrapText="1"/>
    </xf>
    <xf numFmtId="0" fontId="63" fillId="0" borderId="1" xfId="0" applyFont="1" applyBorder="1" applyAlignment="1">
      <alignment vertical="center" wrapText="1"/>
    </xf>
    <xf numFmtId="0" fontId="63" fillId="0" borderId="1" xfId="0" applyFont="1" applyBorder="1" applyAlignment="1">
      <alignment vertical="center"/>
    </xf>
    <xf numFmtId="0" fontId="62" fillId="14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vertical="center" wrapText="1"/>
    </xf>
    <xf numFmtId="0" fontId="59" fillId="0" borderId="0" xfId="0" applyFont="1" applyAlignment="1">
      <alignment vertical="center"/>
    </xf>
    <xf numFmtId="0" fontId="64" fillId="0" borderId="1" xfId="0" applyFont="1" applyBorder="1" applyAlignment="1">
      <alignment vertical="center"/>
    </xf>
    <xf numFmtId="0" fontId="12" fillId="14" borderId="1" xfId="3" applyFont="1" applyFill="1" applyBorder="1" applyAlignment="1">
      <alignment vertical="center" wrapText="1"/>
    </xf>
    <xf numFmtId="0" fontId="11" fillId="17" borderId="1" xfId="3" applyFont="1" applyFill="1" applyBorder="1" applyAlignment="1">
      <alignment vertical="center" wrapText="1"/>
    </xf>
    <xf numFmtId="0" fontId="12" fillId="13" borderId="1" xfId="3" applyFont="1" applyFill="1" applyBorder="1" applyAlignment="1">
      <alignment vertical="center" wrapText="1"/>
    </xf>
    <xf numFmtId="0" fontId="11" fillId="14" borderId="1" xfId="3" applyFont="1" applyFill="1" applyBorder="1" applyAlignment="1">
      <alignment vertical="center" wrapText="1"/>
    </xf>
    <xf numFmtId="0" fontId="11" fillId="13" borderId="1" xfId="3" applyFont="1" applyFill="1" applyBorder="1" applyAlignment="1">
      <alignment vertical="center" wrapText="1"/>
    </xf>
    <xf numFmtId="0" fontId="65" fillId="14" borderId="1" xfId="0" applyFont="1" applyFill="1" applyBorder="1" applyAlignment="1">
      <alignment vertical="center" wrapText="1"/>
    </xf>
    <xf numFmtId="16" fontId="27" fillId="34" borderId="6" xfId="0" applyNumberFormat="1" applyFont="1" applyFill="1" applyBorder="1" applyAlignment="1">
      <alignment horizontal="left" wrapText="1"/>
    </xf>
    <xf numFmtId="16" fontId="27" fillId="34" borderId="8" xfId="0" applyNumberFormat="1" applyFont="1" applyFill="1" applyBorder="1" applyAlignment="1">
      <alignment wrapText="1"/>
    </xf>
    <xf numFmtId="16" fontId="27" fillId="34" borderId="7" xfId="0" applyNumberFormat="1" applyFont="1" applyFill="1" applyBorder="1" applyAlignment="1">
      <alignment wrapText="1"/>
    </xf>
    <xf numFmtId="0" fontId="22" fillId="0" borderId="1" xfId="0" applyFont="1" applyBorder="1" applyAlignment="1">
      <alignment horizontal="left" vertical="center" wrapText="1"/>
    </xf>
    <xf numFmtId="0" fontId="59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0" fontId="59" fillId="0" borderId="9" xfId="0" applyFont="1" applyBorder="1" applyAlignment="1">
      <alignment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" fontId="5" fillId="2" borderId="9" xfId="0" applyNumberFormat="1" applyFont="1" applyFill="1" applyBorder="1" applyAlignment="1">
      <alignment horizontal="center" vertical="top" wrapText="1"/>
    </xf>
    <xf numFmtId="0" fontId="4" fillId="0" borderId="9" xfId="0" applyFont="1" applyBorder="1"/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16" fontId="27" fillId="31" borderId="6" xfId="0" applyNumberFormat="1" applyFont="1" applyFill="1" applyBorder="1" applyAlignment="1">
      <alignment horizontal="left" wrapText="1"/>
    </xf>
    <xf numFmtId="16" fontId="27" fillId="31" borderId="8" xfId="0" applyNumberFormat="1" applyFont="1" applyFill="1" applyBorder="1" applyAlignment="1">
      <alignment wrapText="1"/>
    </xf>
    <xf numFmtId="0" fontId="34" fillId="0" borderId="1" xfId="0" applyFont="1" applyBorder="1" applyAlignment="1">
      <alignment vertical="center" wrapText="1"/>
    </xf>
    <xf numFmtId="0" fontId="4" fillId="3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37" borderId="1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16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16" fontId="5" fillId="2" borderId="12" xfId="0" applyNumberFormat="1" applyFont="1" applyFill="1" applyBorder="1" applyAlignment="1">
      <alignment horizontal="center" vertical="top" wrapText="1"/>
    </xf>
    <xf numFmtId="0" fontId="4" fillId="0" borderId="12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3" fillId="38" borderId="9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21" fillId="0" borderId="9" xfId="0" applyFont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3" fillId="38" borderId="11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16" fontId="54" fillId="0" borderId="9" xfId="0" applyNumberFormat="1" applyFont="1" applyBorder="1" applyAlignment="1">
      <alignment horizontal="center" vertical="top"/>
    </xf>
    <xf numFmtId="0" fontId="54" fillId="0" borderId="9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76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75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0" xfId="0" applyFont="1" applyBorder="1"/>
    <xf numFmtId="0" fontId="4" fillId="4" borderId="9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vertical="center" wrapText="1"/>
    </xf>
    <xf numFmtId="0" fontId="4" fillId="9" borderId="9" xfId="0" applyFont="1" applyFill="1" applyBorder="1" applyAlignment="1">
      <alignment vertical="center" wrapText="1"/>
    </xf>
    <xf numFmtId="0" fontId="71" fillId="0" borderId="1" xfId="0" applyFont="1" applyBorder="1" applyAlignment="1">
      <alignment vertical="center" wrapText="1"/>
    </xf>
    <xf numFmtId="0" fontId="22" fillId="39" borderId="1" xfId="0" applyFont="1" applyFill="1" applyBorder="1" applyAlignment="1">
      <alignment vertical="center" wrapText="1"/>
    </xf>
    <xf numFmtId="0" fontId="36" fillId="39" borderId="1" xfId="0" applyFont="1" applyFill="1" applyBorder="1" applyAlignment="1">
      <alignment vertical="center" wrapText="1"/>
    </xf>
    <xf numFmtId="0" fontId="3" fillId="39" borderId="9" xfId="0" applyFont="1" applyFill="1" applyBorder="1" applyAlignment="1">
      <alignment vertical="center" wrapText="1"/>
    </xf>
    <xf numFmtId="0" fontId="3" fillId="39" borderId="1" xfId="0" applyFont="1" applyFill="1" applyBorder="1" applyAlignment="1">
      <alignment vertical="center" wrapText="1"/>
    </xf>
    <xf numFmtId="0" fontId="3" fillId="39" borderId="2" xfId="0" applyFont="1" applyFill="1" applyBorder="1" applyAlignment="1">
      <alignment vertical="center" wrapText="1"/>
    </xf>
    <xf numFmtId="0" fontId="3" fillId="39" borderId="1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36" borderId="9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4" fillId="0" borderId="9" xfId="0" applyFont="1" applyBorder="1" applyAlignment="1">
      <alignment vertical="center" wrapText="1"/>
    </xf>
    <xf numFmtId="0" fontId="34" fillId="0" borderId="1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17" borderId="9" xfId="0" applyFont="1" applyFill="1" applyBorder="1" applyAlignment="1">
      <alignment vertical="center" wrapText="1"/>
    </xf>
    <xf numFmtId="0" fontId="44" fillId="19" borderId="7" xfId="0" applyFont="1" applyFill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5" fillId="11" borderId="9" xfId="0" applyFont="1" applyFill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27" fillId="26" borderId="9" xfId="0" applyFont="1" applyFill="1" applyBorder="1" applyAlignment="1">
      <alignment vertical="top" wrapText="1"/>
    </xf>
    <xf numFmtId="0" fontId="26" fillId="0" borderId="9" xfId="0" applyFont="1" applyBorder="1" applyAlignment="1">
      <alignment vertical="top" wrapText="1"/>
    </xf>
    <xf numFmtId="0" fontId="26" fillId="22" borderId="9" xfId="0" applyFont="1" applyFill="1" applyBorder="1" applyAlignment="1">
      <alignment vertical="top" wrapText="1"/>
    </xf>
    <xf numFmtId="0" fontId="26" fillId="28" borderId="9" xfId="0" applyFont="1" applyFill="1" applyBorder="1" applyAlignment="1">
      <alignment vertical="top" wrapText="1"/>
    </xf>
    <xf numFmtId="0" fontId="36" fillId="33" borderId="9" xfId="0" applyFont="1" applyFill="1" applyBorder="1" applyAlignment="1">
      <alignment vertical="top" wrapText="1"/>
    </xf>
    <xf numFmtId="0" fontId="36" fillId="9" borderId="9" xfId="0" applyFont="1" applyFill="1" applyBorder="1" applyAlignment="1">
      <alignment vertical="top" wrapText="1"/>
    </xf>
    <xf numFmtId="0" fontId="36" fillId="0" borderId="9" xfId="0" applyFont="1" applyBorder="1" applyAlignment="1">
      <alignment vertical="top" wrapText="1"/>
    </xf>
    <xf numFmtId="0" fontId="79" fillId="9" borderId="9" xfId="0" applyFont="1" applyFill="1" applyBorder="1" applyAlignment="1">
      <alignment vertical="top" wrapText="1"/>
    </xf>
    <xf numFmtId="0" fontId="69" fillId="0" borderId="9" xfId="0" applyFont="1" applyBorder="1" applyAlignment="1">
      <alignment vertical="top" wrapText="1"/>
    </xf>
    <xf numFmtId="0" fontId="81" fillId="9" borderId="9" xfId="0" applyFont="1" applyFill="1" applyBorder="1" applyAlignment="1">
      <alignment vertical="top" wrapText="1"/>
    </xf>
    <xf numFmtId="0" fontId="3" fillId="12" borderId="9" xfId="0" applyFont="1" applyFill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0" fontId="44" fillId="26" borderId="9" xfId="0" applyFont="1" applyFill="1" applyBorder="1" applyAlignment="1">
      <alignment vertical="top" wrapText="1"/>
    </xf>
    <xf numFmtId="0" fontId="36" fillId="27" borderId="9" xfId="0" applyFont="1" applyFill="1" applyBorder="1" applyAlignment="1">
      <alignment vertical="top" wrapText="1"/>
    </xf>
    <xf numFmtId="0" fontId="56" fillId="0" borderId="9" xfId="0" applyFont="1" applyBorder="1" applyAlignment="1">
      <alignment vertical="top" wrapText="1"/>
    </xf>
    <xf numFmtId="0" fontId="72" fillId="0" borderId="9" xfId="0" applyFont="1" applyBorder="1" applyAlignment="1">
      <alignment vertical="top" wrapText="1"/>
    </xf>
    <xf numFmtId="0" fontId="80" fillId="9" borderId="9" xfId="0" applyFont="1" applyFill="1" applyBorder="1" applyAlignment="1">
      <alignment vertical="top" wrapText="1"/>
    </xf>
    <xf numFmtId="0" fontId="48" fillId="0" borderId="9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27" fillId="22" borderId="9" xfId="0" applyFont="1" applyFill="1" applyBorder="1" applyAlignment="1">
      <alignment vertical="top" wrapText="1"/>
    </xf>
    <xf numFmtId="0" fontId="48" fillId="26" borderId="9" xfId="0" applyFont="1" applyFill="1" applyBorder="1" applyAlignment="1">
      <alignment vertical="top" wrapText="1"/>
    </xf>
    <xf numFmtId="0" fontId="18" fillId="22" borderId="9" xfId="0" applyFont="1" applyFill="1" applyBorder="1" applyAlignment="1">
      <alignment vertical="top" wrapText="1"/>
    </xf>
    <xf numFmtId="0" fontId="36" fillId="22" borderId="9" xfId="0" applyFont="1" applyFill="1" applyBorder="1" applyAlignment="1">
      <alignment vertical="top" wrapText="1"/>
    </xf>
    <xf numFmtId="0" fontId="18" fillId="0" borderId="9" xfId="0" applyFont="1" applyBorder="1" applyAlignment="1">
      <alignment vertical="top" wrapText="1"/>
    </xf>
    <xf numFmtId="0" fontId="70" fillId="0" borderId="9" xfId="0" applyFont="1" applyBorder="1" applyAlignment="1">
      <alignment vertical="top" wrapText="1"/>
    </xf>
    <xf numFmtId="0" fontId="18" fillId="17" borderId="9" xfId="0" applyFont="1" applyFill="1" applyBorder="1" applyAlignment="1">
      <alignment vertical="top" wrapText="1"/>
    </xf>
    <xf numFmtId="0" fontId="3" fillId="10" borderId="9" xfId="0" applyFont="1" applyFill="1" applyBorder="1" applyAlignment="1">
      <alignment vertical="top" wrapText="1"/>
    </xf>
    <xf numFmtId="0" fontId="18" fillId="26" borderId="9" xfId="0" applyFont="1" applyFill="1" applyBorder="1" applyAlignment="1">
      <alignment vertical="top" wrapText="1"/>
    </xf>
    <xf numFmtId="0" fontId="73" fillId="0" borderId="9" xfId="0" applyFont="1" applyBorder="1" applyAlignment="1">
      <alignment vertical="top" wrapText="1"/>
    </xf>
    <xf numFmtId="0" fontId="36" fillId="36" borderId="9" xfId="0" applyFont="1" applyFill="1" applyBorder="1" applyAlignment="1">
      <alignment vertical="top" wrapText="1"/>
    </xf>
    <xf numFmtId="0" fontId="74" fillId="0" borderId="9" xfId="0" applyFont="1" applyBorder="1" applyAlignment="1">
      <alignment vertical="top" wrapText="1"/>
    </xf>
    <xf numFmtId="0" fontId="48" fillId="37" borderId="9" xfId="0" applyFont="1" applyFill="1" applyBorder="1" applyAlignment="1">
      <alignment horizontal="center" vertical="center" wrapText="1"/>
    </xf>
    <xf numFmtId="0" fontId="48" fillId="38" borderId="9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44" fillId="32" borderId="17" xfId="0" applyFont="1" applyFill="1" applyBorder="1" applyAlignment="1">
      <alignment vertical="top" wrapText="1"/>
    </xf>
    <xf numFmtId="0" fontId="3" fillId="38" borderId="9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8" borderId="13" xfId="0" applyFont="1" applyFill="1" applyBorder="1" applyAlignment="1">
      <alignment horizontal="left" vertical="center" wrapText="1"/>
    </xf>
    <xf numFmtId="0" fontId="4" fillId="9" borderId="13" xfId="0" applyFont="1" applyFill="1" applyBorder="1" applyAlignment="1">
      <alignment vertical="center" wrapText="1"/>
    </xf>
    <xf numFmtId="0" fontId="4" fillId="9" borderId="20" xfId="0" applyFont="1" applyFill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164" fontId="5" fillId="2" borderId="15" xfId="0" applyNumberFormat="1" applyFont="1" applyFill="1" applyBorder="1" applyAlignment="1">
      <alignment horizontal="center" vertical="top" wrapText="1"/>
    </xf>
    <xf numFmtId="0" fontId="4" fillId="0" borderId="15" xfId="0" applyFont="1" applyBorder="1"/>
    <xf numFmtId="164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vertical="center" wrapText="1"/>
    </xf>
    <xf numFmtId="0" fontId="38" fillId="0" borderId="9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6" fillId="23" borderId="9" xfId="0" applyFont="1" applyFill="1" applyBorder="1" applyAlignment="1">
      <alignment vertical="center" wrapText="1"/>
    </xf>
    <xf numFmtId="16" fontId="5" fillId="2" borderId="15" xfId="0" applyNumberFormat="1" applyFont="1" applyFill="1" applyBorder="1" applyAlignment="1">
      <alignment horizontal="center" vertical="top" wrapText="1"/>
    </xf>
    <xf numFmtId="0" fontId="34" fillId="0" borderId="6" xfId="0" applyFont="1" applyBorder="1" applyAlignment="1">
      <alignment horizontal="left" vertical="center" wrapText="1"/>
    </xf>
    <xf numFmtId="0" fontId="4" fillId="17" borderId="15" xfId="0" applyFont="1" applyFill="1" applyBorder="1" applyAlignment="1">
      <alignment vertical="center" wrapText="1"/>
    </xf>
    <xf numFmtId="0" fontId="4" fillId="0" borderId="21" xfId="0" applyFont="1" applyBorder="1"/>
    <xf numFmtId="0" fontId="4" fillId="0" borderId="11" xfId="0" applyFont="1" applyBorder="1" applyAlignment="1">
      <alignment vertical="center" wrapText="1"/>
    </xf>
    <xf numFmtId="0" fontId="4" fillId="9" borderId="12" xfId="0" applyFont="1" applyFill="1" applyBorder="1" applyAlignment="1">
      <alignment vertical="center" wrapText="1"/>
    </xf>
    <xf numFmtId="0" fontId="4" fillId="9" borderId="10" xfId="0" applyFont="1" applyFill="1" applyBorder="1" applyAlignment="1">
      <alignment vertical="center" wrapText="1"/>
    </xf>
    <xf numFmtId="0" fontId="75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8" fillId="0" borderId="9" xfId="0" quotePrefix="1" applyFont="1" applyBorder="1" applyAlignment="1">
      <alignment vertical="top" wrapText="1"/>
    </xf>
    <xf numFmtId="0" fontId="21" fillId="0" borderId="11" xfId="0" applyFont="1" applyBorder="1" applyAlignment="1">
      <alignment horizontal="left" vertical="center" wrapText="1"/>
    </xf>
    <xf numFmtId="0" fontId="83" fillId="8" borderId="9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1" fillId="9" borderId="13" xfId="0" applyFont="1" applyFill="1" applyBorder="1" applyAlignment="1">
      <alignment vertical="center" wrapText="1"/>
    </xf>
    <xf numFmtId="0" fontId="48" fillId="38" borderId="9" xfId="0" quotePrefix="1" applyFont="1" applyFill="1" applyBorder="1" applyAlignment="1">
      <alignment horizontal="center" vertical="top" wrapText="1"/>
    </xf>
    <xf numFmtId="0" fontId="36" fillId="0" borderId="9" xfId="0" applyFont="1" applyBorder="1" applyAlignment="1">
      <alignment vertical="center" wrapText="1"/>
    </xf>
    <xf numFmtId="0" fontId="85" fillId="9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25" fillId="9" borderId="1" xfId="0" applyFont="1" applyFill="1" applyBorder="1" applyAlignment="1">
      <alignment vertical="center" wrapText="1"/>
    </xf>
    <xf numFmtId="0" fontId="21" fillId="10" borderId="5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vertical="center" wrapText="1"/>
    </xf>
    <xf numFmtId="16" fontId="5" fillId="2" borderId="9" xfId="0" applyNumberFormat="1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64" fontId="5" fillId="2" borderId="9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21" fillId="0" borderId="12" xfId="0" applyFont="1" applyBorder="1" applyAlignment="1">
      <alignment vertical="center" wrapText="1"/>
    </xf>
    <xf numFmtId="0" fontId="47" fillId="41" borderId="9" xfId="0" applyFont="1" applyFill="1" applyBorder="1" applyAlignment="1">
      <alignment vertical="top" wrapText="1"/>
    </xf>
    <xf numFmtId="0" fontId="4" fillId="0" borderId="10" xfId="0" applyFont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79" fillId="9" borderId="11" xfId="0" applyFont="1" applyFill="1" applyBorder="1" applyAlignment="1">
      <alignment vertical="top" wrapText="1"/>
    </xf>
    <xf numFmtId="0" fontId="81" fillId="9" borderId="11" xfId="0" applyFont="1" applyFill="1" applyBorder="1" applyAlignment="1">
      <alignment vertical="top" wrapText="1"/>
    </xf>
    <xf numFmtId="0" fontId="80" fillId="17" borderId="11" xfId="0" applyFont="1" applyFill="1" applyBorder="1" applyAlignment="1">
      <alignment vertical="top" wrapText="1"/>
    </xf>
    <xf numFmtId="0" fontId="48" fillId="38" borderId="12" xfId="0" quotePrefix="1" applyFont="1" applyFill="1" applyBorder="1" applyAlignment="1">
      <alignment horizontal="center" vertical="top" wrapText="1"/>
    </xf>
    <xf numFmtId="0" fontId="48" fillId="0" borderId="11" xfId="0" applyFont="1" applyBorder="1" applyAlignment="1">
      <alignment vertical="top" wrapText="1"/>
    </xf>
    <xf numFmtId="0" fontId="3" fillId="0" borderId="11" xfId="0" applyFont="1" applyBorder="1" applyAlignment="1">
      <alignment vertical="top"/>
    </xf>
    <xf numFmtId="0" fontId="76" fillId="0" borderId="11" xfId="0" applyFont="1" applyBorder="1" applyAlignment="1">
      <alignment vertical="top" wrapText="1"/>
    </xf>
    <xf numFmtId="0" fontId="88" fillId="0" borderId="9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1" fillId="4" borderId="9" xfId="0" applyFont="1" applyFill="1" applyBorder="1" applyAlignment="1">
      <alignment vertical="center" wrapText="1"/>
    </xf>
    <xf numFmtId="0" fontId="59" fillId="0" borderId="9" xfId="0" applyFont="1" applyBorder="1" applyAlignment="1">
      <alignment wrapText="1"/>
    </xf>
    <xf numFmtId="0" fontId="3" fillId="38" borderId="19" xfId="0" applyFont="1" applyFill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4" fillId="17" borderId="10" xfId="0" applyFont="1" applyFill="1" applyBorder="1" applyAlignment="1">
      <alignment vertical="center" wrapText="1"/>
    </xf>
    <xf numFmtId="0" fontId="90" fillId="17" borderId="10" xfId="0" applyFont="1" applyFill="1" applyBorder="1" applyAlignment="1">
      <alignment vertical="center" wrapText="1"/>
    </xf>
    <xf numFmtId="0" fontId="80" fillId="17" borderId="18" xfId="0" applyFont="1" applyFill="1" applyBorder="1" applyAlignment="1">
      <alignment vertical="top" wrapText="1"/>
    </xf>
    <xf numFmtId="0" fontId="48" fillId="38" borderId="15" xfId="0" quotePrefix="1" applyFont="1" applyFill="1" applyBorder="1" applyAlignment="1">
      <alignment horizontal="center" vertical="top" wrapText="1"/>
    </xf>
    <xf numFmtId="0" fontId="80" fillId="9" borderId="11" xfId="0" applyFont="1" applyFill="1" applyBorder="1" applyAlignment="1">
      <alignment vertical="top" wrapText="1"/>
    </xf>
    <xf numFmtId="0" fontId="3" fillId="0" borderId="10" xfId="0" applyFont="1" applyBorder="1" applyAlignment="1">
      <alignment vertical="top"/>
    </xf>
    <xf numFmtId="0" fontId="47" fillId="0" borderId="9" xfId="0" applyFont="1" applyBorder="1" applyAlignment="1">
      <alignment vertical="top" wrapText="1"/>
    </xf>
    <xf numFmtId="0" fontId="94" fillId="9" borderId="9" xfId="0" applyFont="1" applyFill="1" applyBorder="1" applyAlignment="1">
      <alignment vertical="top" wrapText="1"/>
    </xf>
    <xf numFmtId="0" fontId="95" fillId="9" borderId="9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8" fillId="38" borderId="9" xfId="0" quotePrefix="1" applyFont="1" applyFill="1" applyBorder="1" applyAlignment="1">
      <alignment vertical="top" wrapText="1"/>
    </xf>
    <xf numFmtId="0" fontId="25" fillId="10" borderId="5" xfId="0" applyFont="1" applyFill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36" fillId="40" borderId="9" xfId="0" applyFont="1" applyFill="1" applyBorder="1" applyAlignment="1">
      <alignment vertical="top" wrapText="1"/>
    </xf>
    <xf numFmtId="0" fontId="4" fillId="0" borderId="11" xfId="0" applyFont="1" applyBorder="1" applyAlignment="1">
      <alignment horizontal="left" vertical="top" wrapText="1"/>
    </xf>
    <xf numFmtId="0" fontId="21" fillId="9" borderId="12" xfId="0" applyFont="1" applyFill="1" applyBorder="1" applyAlignment="1">
      <alignment vertical="center" wrapText="1"/>
    </xf>
    <xf numFmtId="0" fontId="59" fillId="0" borderId="0" xfId="0" applyFont="1" applyAlignment="1">
      <alignment wrapText="1"/>
    </xf>
    <xf numFmtId="0" fontId="59" fillId="4" borderId="0" xfId="0" applyFont="1" applyFill="1" applyAlignment="1">
      <alignment wrapText="1"/>
    </xf>
    <xf numFmtId="0" fontId="38" fillId="45" borderId="1" xfId="0" applyFont="1" applyFill="1" applyBorder="1" applyAlignment="1">
      <alignment vertical="center" wrapText="1"/>
    </xf>
    <xf numFmtId="0" fontId="28" fillId="46" borderId="9" xfId="0" applyFont="1" applyFill="1" applyBorder="1" applyAlignment="1">
      <alignment vertical="center" wrapText="1"/>
    </xf>
    <xf numFmtId="0" fontId="4" fillId="46" borderId="9" xfId="0" applyFont="1" applyFill="1" applyBorder="1" applyAlignment="1">
      <alignment vertical="center" wrapText="1"/>
    </xf>
    <xf numFmtId="0" fontId="28" fillId="47" borderId="9" xfId="0" applyFont="1" applyFill="1" applyBorder="1" applyAlignment="1">
      <alignment vertical="center" wrapText="1"/>
    </xf>
    <xf numFmtId="0" fontId="38" fillId="10" borderId="9" xfId="0" applyFont="1" applyFill="1" applyBorder="1" applyAlignment="1">
      <alignment vertical="center" wrapText="1"/>
    </xf>
    <xf numFmtId="0" fontId="38" fillId="45" borderId="2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3" fillId="38" borderId="10" xfId="0" applyFont="1" applyFill="1" applyBorder="1" applyAlignment="1">
      <alignment vertical="center" wrapText="1"/>
    </xf>
    <xf numFmtId="0" fontId="38" fillId="10" borderId="3" xfId="0" applyFont="1" applyFill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" fontId="5" fillId="2" borderId="1" xfId="0" applyNumberFormat="1" applyFont="1" applyFill="1" applyBorder="1" applyAlignment="1">
      <alignment horizontal="center" vertical="center" wrapText="1"/>
    </xf>
    <xf numFmtId="16" fontId="5" fillId="2" borderId="2" xfId="0" applyNumberFormat="1" applyFont="1" applyFill="1" applyBorder="1" applyAlignment="1">
      <alignment horizontal="center" vertical="center" wrapText="1"/>
    </xf>
    <xf numFmtId="16" fontId="5" fillId="2" borderId="5" xfId="0" applyNumberFormat="1" applyFont="1" applyFill="1" applyBorder="1" applyAlignment="1">
      <alignment horizontal="center" vertical="center" wrapText="1"/>
    </xf>
    <xf numFmtId="16" fontId="5" fillId="2" borderId="13" xfId="0" applyNumberFormat="1" applyFont="1" applyFill="1" applyBorder="1" applyAlignment="1">
      <alignment horizontal="center" vertical="center" wrapText="1"/>
    </xf>
    <xf numFmtId="16" fontId="5" fillId="2" borderId="11" xfId="0" applyNumberFormat="1" applyFont="1" applyFill="1" applyBorder="1" applyAlignment="1">
      <alignment horizontal="center" vertical="center" wrapText="1"/>
    </xf>
    <xf numFmtId="16" fontId="5" fillId="2" borderId="18" xfId="0" applyNumberFormat="1" applyFont="1" applyFill="1" applyBorder="1" applyAlignment="1">
      <alignment horizontal="center" vertical="center" wrapText="1"/>
    </xf>
    <xf numFmtId="16" fontId="5" fillId="2" borderId="9" xfId="0" applyNumberFormat="1" applyFont="1" applyFill="1" applyBorder="1" applyAlignment="1">
      <alignment horizontal="center" vertical="center" wrapText="1"/>
    </xf>
    <xf numFmtId="16" fontId="5" fillId="2" borderId="12" xfId="0" applyNumberFormat="1" applyFont="1" applyFill="1" applyBorder="1" applyAlignment="1">
      <alignment horizontal="center" vertical="center" wrapText="1"/>
    </xf>
    <xf numFmtId="0" fontId="47" fillId="17" borderId="9" xfId="0" applyFont="1" applyFill="1" applyBorder="1" applyAlignment="1">
      <alignment vertical="center" wrapText="1"/>
    </xf>
    <xf numFmtId="0" fontId="39" fillId="9" borderId="9" xfId="0" applyFont="1" applyFill="1" applyBorder="1" applyAlignment="1">
      <alignment vertical="center" wrapText="1"/>
    </xf>
    <xf numFmtId="0" fontId="4" fillId="9" borderId="18" xfId="0" applyFont="1" applyFill="1" applyBorder="1" applyAlignment="1">
      <alignment horizontal="left" vertical="center" wrapText="1"/>
    </xf>
    <xf numFmtId="0" fontId="38" fillId="46" borderId="9" xfId="0" applyFont="1" applyFill="1" applyBorder="1" applyAlignment="1">
      <alignment vertical="center" wrapText="1"/>
    </xf>
    <xf numFmtId="0" fontId="26" fillId="48" borderId="2" xfId="0" applyFont="1" applyFill="1" applyBorder="1" applyAlignment="1">
      <alignment vertical="center" wrapText="1"/>
    </xf>
    <xf numFmtId="0" fontId="36" fillId="49" borderId="9" xfId="0" applyFont="1" applyFill="1" applyBorder="1" applyAlignment="1">
      <alignment vertical="center" wrapText="1"/>
    </xf>
    <xf numFmtId="0" fontId="38" fillId="18" borderId="9" xfId="0" applyFont="1" applyFill="1" applyBorder="1" applyAlignment="1">
      <alignment vertical="center" wrapText="1"/>
    </xf>
    <xf numFmtId="0" fontId="84" fillId="9" borderId="9" xfId="0" applyFont="1" applyFill="1" applyBorder="1" applyAlignment="1">
      <alignment vertical="top" wrapText="1"/>
    </xf>
    <xf numFmtId="0" fontId="9" fillId="3" borderId="9" xfId="0" applyFont="1" applyFill="1" applyBorder="1" applyAlignment="1">
      <alignment vertical="center" wrapText="1"/>
    </xf>
    <xf numFmtId="0" fontId="60" fillId="3" borderId="10" xfId="0" applyFont="1" applyFill="1" applyBorder="1" applyAlignment="1">
      <alignment vertical="center" wrapText="1"/>
    </xf>
    <xf numFmtId="0" fontId="60" fillId="38" borderId="10" xfId="0" applyFont="1" applyFill="1" applyBorder="1" applyAlignment="1">
      <alignment vertical="center" wrapText="1"/>
    </xf>
    <xf numFmtId="0" fontId="99" fillId="2" borderId="0" xfId="0" applyFont="1" applyFill="1" applyAlignment="1">
      <alignment horizontal="center"/>
    </xf>
    <xf numFmtId="0" fontId="3" fillId="36" borderId="25" xfId="0" applyFont="1" applyFill="1" applyBorder="1" applyAlignment="1">
      <alignment vertical="center" wrapText="1"/>
    </xf>
    <xf numFmtId="0" fontId="3" fillId="36" borderId="2" xfId="0" applyFont="1" applyFill="1" applyBorder="1" applyAlignment="1">
      <alignment vertical="center" wrapText="1"/>
    </xf>
    <xf numFmtId="0" fontId="36" fillId="36" borderId="12" xfId="0" applyFont="1" applyFill="1" applyBorder="1" applyAlignment="1">
      <alignment vertical="center" wrapText="1"/>
    </xf>
    <xf numFmtId="0" fontId="3" fillId="36" borderId="9" xfId="0" applyFont="1" applyFill="1" applyBorder="1" applyAlignment="1">
      <alignment vertical="center" wrapText="1"/>
    </xf>
    <xf numFmtId="0" fontId="36" fillId="36" borderId="9" xfId="0" applyFont="1" applyFill="1" applyBorder="1" applyAlignment="1">
      <alignment vertical="center" wrapText="1"/>
    </xf>
    <xf numFmtId="0" fontId="90" fillId="0" borderId="1" xfId="0" applyFont="1" applyBorder="1" applyAlignment="1">
      <alignment horizontal="left" vertical="center" wrapText="1"/>
    </xf>
    <xf numFmtId="0" fontId="4" fillId="41" borderId="9" xfId="0" applyFont="1" applyFill="1" applyBorder="1" applyAlignment="1">
      <alignment horizontal="left" vertical="top" wrapText="1"/>
    </xf>
    <xf numFmtId="0" fontId="38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8" fillId="35" borderId="26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105" fillId="0" borderId="9" xfId="0" applyFont="1" applyBorder="1" applyAlignment="1">
      <alignment vertical="center"/>
    </xf>
    <xf numFmtId="0" fontId="1" fillId="4" borderId="12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06" fillId="42" borderId="9" xfId="0" applyFont="1" applyFill="1" applyBorder="1" applyAlignment="1">
      <alignment horizontal="center" vertical="center" wrapText="1"/>
    </xf>
    <xf numFmtId="0" fontId="59" fillId="38" borderId="0" xfId="0" applyFont="1" applyFill="1"/>
    <xf numFmtId="0" fontId="4" fillId="4" borderId="9" xfId="0" applyFont="1" applyFill="1" applyBorder="1" applyAlignment="1">
      <alignment horizontal="left" vertical="top" wrapText="1"/>
    </xf>
    <xf numFmtId="0" fontId="80" fillId="50" borderId="9" xfId="0" applyFont="1" applyFill="1" applyBorder="1" applyAlignment="1">
      <alignment vertical="top" wrapText="1"/>
    </xf>
    <xf numFmtId="0" fontId="107" fillId="9" borderId="9" xfId="0" applyFont="1" applyFill="1" applyBorder="1" applyAlignment="1">
      <alignment vertical="top" wrapText="1"/>
    </xf>
    <xf numFmtId="0" fontId="76" fillId="0" borderId="12" xfId="0" applyFont="1" applyBorder="1" applyAlignment="1">
      <alignment vertical="top" wrapText="1"/>
    </xf>
    <xf numFmtId="0" fontId="76" fillId="0" borderId="15" xfId="0" applyFont="1" applyBorder="1" applyAlignment="1">
      <alignment vertical="top" wrapText="1"/>
    </xf>
    <xf numFmtId="0" fontId="76" fillId="38" borderId="9" xfId="0" applyFont="1" applyFill="1" applyBorder="1" applyAlignment="1">
      <alignment vertical="top" wrapText="1"/>
    </xf>
    <xf numFmtId="0" fontId="4" fillId="35" borderId="9" xfId="0" applyFont="1" applyFill="1" applyBorder="1" applyAlignment="1">
      <alignment vertical="center" wrapText="1"/>
    </xf>
    <xf numFmtId="0" fontId="36" fillId="48" borderId="2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4" fillId="51" borderId="9" xfId="0" applyFont="1" applyFill="1" applyBorder="1" applyAlignment="1">
      <alignment vertical="center" wrapText="1"/>
    </xf>
    <xf numFmtId="0" fontId="3" fillId="51" borderId="25" xfId="0" applyFont="1" applyFill="1" applyBorder="1" applyAlignment="1">
      <alignment vertical="center" wrapText="1"/>
    </xf>
    <xf numFmtId="0" fontId="59" fillId="0" borderId="11" xfId="0" applyFont="1" applyBorder="1" applyAlignment="1">
      <alignment vertical="center"/>
    </xf>
    <xf numFmtId="0" fontId="59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0" fontId="76" fillId="44" borderId="9" xfId="0" applyFont="1" applyFill="1" applyBorder="1" applyAlignment="1">
      <alignment vertical="top" wrapText="1"/>
    </xf>
    <xf numFmtId="0" fontId="110" fillId="0" borderId="9" xfId="0" applyFont="1" applyBorder="1" applyAlignment="1">
      <alignment wrapText="1"/>
    </xf>
    <xf numFmtId="0" fontId="64" fillId="4" borderId="9" xfId="0" applyFont="1" applyFill="1" applyBorder="1" applyAlignment="1">
      <alignment vertical="center" wrapText="1"/>
    </xf>
    <xf numFmtId="0" fontId="1" fillId="38" borderId="9" xfId="0" applyFont="1" applyFill="1" applyBorder="1" applyAlignment="1">
      <alignment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114" fillId="0" borderId="9" xfId="0" applyFont="1" applyBorder="1" applyAlignment="1">
      <alignment horizontal="center" vertical="center"/>
    </xf>
    <xf numFmtId="0" fontId="76" fillId="38" borderId="9" xfId="0" applyFont="1" applyFill="1" applyBorder="1" applyAlignment="1">
      <alignment horizontal="center" vertical="center" wrapText="1"/>
    </xf>
    <xf numFmtId="0" fontId="76" fillId="6" borderId="9" xfId="0" applyFont="1" applyFill="1" applyBorder="1" applyAlignment="1">
      <alignment vertical="top" wrapText="1"/>
    </xf>
    <xf numFmtId="0" fontId="88" fillId="4" borderId="15" xfId="0" applyFont="1" applyFill="1" applyBorder="1" applyAlignment="1">
      <alignment wrapText="1"/>
    </xf>
    <xf numFmtId="0" fontId="3" fillId="9" borderId="12" xfId="0" applyFont="1" applyFill="1" applyBorder="1" applyAlignment="1">
      <alignment horizontal="left" vertical="center" wrapText="1"/>
    </xf>
    <xf numFmtId="0" fontId="115" fillId="45" borderId="1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vertical="center" wrapText="1"/>
    </xf>
    <xf numFmtId="0" fontId="4" fillId="51" borderId="12" xfId="0" applyFont="1" applyFill="1" applyBorder="1" applyAlignment="1">
      <alignment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14" xfId="0" applyFont="1" applyBorder="1"/>
    <xf numFmtId="0" fontId="49" fillId="0" borderId="0" xfId="0" applyFont="1"/>
    <xf numFmtId="0" fontId="116" fillId="38" borderId="9" xfId="0" applyFont="1" applyFill="1" applyBorder="1" applyAlignment="1">
      <alignment wrapText="1"/>
    </xf>
    <xf numFmtId="0" fontId="76" fillId="9" borderId="9" xfId="0" applyFont="1" applyFill="1" applyBorder="1" applyAlignment="1">
      <alignment vertical="top" wrapText="1"/>
    </xf>
    <xf numFmtId="0" fontId="117" fillId="0" borderId="9" xfId="0" applyFont="1" applyBorder="1" applyAlignment="1">
      <alignment vertical="top" wrapText="1"/>
    </xf>
    <xf numFmtId="0" fontId="76" fillId="10" borderId="19" xfId="0" applyFont="1" applyFill="1" applyBorder="1" applyAlignment="1">
      <alignment vertical="top" wrapText="1"/>
    </xf>
    <xf numFmtId="0" fontId="76" fillId="0" borderId="28" xfId="0" applyFont="1" applyBorder="1" applyAlignment="1">
      <alignment vertical="top" wrapText="1"/>
    </xf>
    <xf numFmtId="0" fontId="115" fillId="45" borderId="3" xfId="0" applyFont="1" applyFill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4" fillId="6" borderId="19" xfId="0" applyFont="1" applyFill="1" applyBorder="1" applyAlignment="1">
      <alignment vertical="center" wrapText="1"/>
    </xf>
    <xf numFmtId="0" fontId="39" fillId="45" borderId="1" xfId="0" applyFont="1" applyFill="1" applyBorder="1" applyAlignment="1">
      <alignment wrapText="1"/>
    </xf>
    <xf numFmtId="0" fontId="39" fillId="45" borderId="6" xfId="0" applyFont="1" applyFill="1" applyBorder="1" applyAlignment="1">
      <alignment wrapText="1"/>
    </xf>
    <xf numFmtId="0" fontId="24" fillId="20" borderId="6" xfId="0" applyFont="1" applyFill="1" applyBorder="1" applyAlignment="1">
      <alignment wrapText="1"/>
    </xf>
    <xf numFmtId="0" fontId="36" fillId="36" borderId="14" xfId="0" applyFont="1" applyFill="1" applyBorder="1" applyAlignment="1">
      <alignment vertical="center" wrapText="1"/>
    </xf>
    <xf numFmtId="0" fontId="28" fillId="9" borderId="9" xfId="0" applyFont="1" applyFill="1" applyBorder="1" applyAlignment="1">
      <alignment vertical="center" wrapText="1"/>
    </xf>
    <xf numFmtId="0" fontId="47" fillId="54" borderId="6" xfId="0" applyFont="1" applyFill="1" applyBorder="1" applyAlignment="1">
      <alignment wrapText="1"/>
    </xf>
    <xf numFmtId="0" fontId="38" fillId="4" borderId="9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9" fillId="9" borderId="1" xfId="0" applyFont="1" applyFill="1" applyBorder="1" applyAlignment="1">
      <alignment wrapText="1"/>
    </xf>
    <xf numFmtId="0" fontId="39" fillId="9" borderId="1" xfId="0" applyFont="1" applyFill="1" applyBorder="1" applyAlignment="1">
      <alignment vertical="top" wrapText="1"/>
    </xf>
    <xf numFmtId="0" fontId="47" fillId="45" borderId="1" xfId="0" applyFont="1" applyFill="1" applyBorder="1" applyAlignment="1">
      <alignment wrapText="1"/>
    </xf>
    <xf numFmtId="0" fontId="47" fillId="9" borderId="1" xfId="0" applyFont="1" applyFill="1" applyBorder="1" applyAlignment="1">
      <alignment vertical="top" wrapText="1"/>
    </xf>
    <xf numFmtId="0" fontId="47" fillId="9" borderId="1" xfId="0" applyFont="1" applyFill="1" applyBorder="1" applyAlignment="1">
      <alignment wrapText="1"/>
    </xf>
    <xf numFmtId="0" fontId="3" fillId="8" borderId="9" xfId="0" applyFont="1" applyFill="1" applyBorder="1" applyAlignment="1">
      <alignment vertical="center" wrapText="1"/>
    </xf>
    <xf numFmtId="0" fontId="28" fillId="38" borderId="9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88" fillId="0" borderId="9" xfId="0" applyFont="1" applyBorder="1" applyAlignment="1">
      <alignment vertical="top" wrapText="1"/>
    </xf>
    <xf numFmtId="0" fontId="12" fillId="35" borderId="9" xfId="0" applyFont="1" applyFill="1" applyBorder="1" applyAlignment="1">
      <alignment vertical="center" wrapText="1"/>
    </xf>
    <xf numFmtId="0" fontId="36" fillId="36" borderId="18" xfId="0" applyFont="1" applyFill="1" applyBorder="1" applyAlignment="1">
      <alignment vertical="center" wrapText="1"/>
    </xf>
    <xf numFmtId="0" fontId="54" fillId="8" borderId="3" xfId="0" applyFont="1" applyFill="1" applyBorder="1" applyAlignment="1">
      <alignment wrapText="1"/>
    </xf>
    <xf numFmtId="0" fontId="28" fillId="18" borderId="8" xfId="0" applyFont="1" applyFill="1" applyBorder="1" applyAlignment="1">
      <alignment wrapText="1"/>
    </xf>
    <xf numFmtId="0" fontId="36" fillId="10" borderId="8" xfId="0" applyFont="1" applyFill="1" applyBorder="1" applyAlignment="1">
      <alignment wrapText="1"/>
    </xf>
    <xf numFmtId="0" fontId="18" fillId="10" borderId="3" xfId="0" applyFont="1" applyFill="1" applyBorder="1" applyAlignment="1">
      <alignment wrapText="1"/>
    </xf>
    <xf numFmtId="0" fontId="39" fillId="10" borderId="3" xfId="0" applyFont="1" applyFill="1" applyBorder="1" applyAlignment="1">
      <alignment wrapText="1"/>
    </xf>
    <xf numFmtId="0" fontId="38" fillId="10" borderId="8" xfId="0" applyFont="1" applyFill="1" applyBorder="1" applyAlignment="1">
      <alignment wrapText="1"/>
    </xf>
    <xf numFmtId="0" fontId="41" fillId="10" borderId="3" xfId="0" applyFont="1" applyFill="1" applyBorder="1" applyAlignment="1">
      <alignment wrapText="1"/>
    </xf>
    <xf numFmtId="0" fontId="48" fillId="10" borderId="1" xfId="0" applyFont="1" applyFill="1" applyBorder="1" applyAlignment="1">
      <alignment wrapText="1"/>
    </xf>
    <xf numFmtId="0" fontId="48" fillId="10" borderId="3" xfId="0" applyFont="1" applyFill="1" applyBorder="1" applyAlignment="1">
      <alignment wrapText="1"/>
    </xf>
    <xf numFmtId="0" fontId="24" fillId="10" borderId="3" xfId="0" applyFont="1" applyFill="1" applyBorder="1" applyAlignment="1">
      <alignment wrapText="1"/>
    </xf>
    <xf numFmtId="0" fontId="45" fillId="10" borderId="3" xfId="0" applyFont="1" applyFill="1" applyBorder="1" applyAlignment="1">
      <alignment wrapText="1"/>
    </xf>
    <xf numFmtId="0" fontId="39" fillId="10" borderId="1" xfId="0" applyFont="1" applyFill="1" applyBorder="1" applyAlignment="1">
      <alignment wrapText="1"/>
    </xf>
    <xf numFmtId="0" fontId="18" fillId="10" borderId="1" xfId="0" applyFont="1" applyFill="1" applyBorder="1" applyAlignment="1">
      <alignment wrapText="1"/>
    </xf>
    <xf numFmtId="0" fontId="47" fillId="10" borderId="1" xfId="0" applyFont="1" applyFill="1" applyBorder="1" applyAlignment="1">
      <alignment wrapText="1"/>
    </xf>
    <xf numFmtId="0" fontId="39" fillId="10" borderId="8" xfId="0" applyFont="1" applyFill="1" applyBorder="1" applyAlignment="1">
      <alignment wrapText="1"/>
    </xf>
    <xf numFmtId="0" fontId="47" fillId="10" borderId="8" xfId="0" applyFont="1" applyFill="1" applyBorder="1" applyAlignment="1">
      <alignment wrapText="1"/>
    </xf>
    <xf numFmtId="0" fontId="39" fillId="10" borderId="16" xfId="0" applyFont="1" applyFill="1" applyBorder="1" applyAlignment="1">
      <alignment wrapText="1"/>
    </xf>
    <xf numFmtId="0" fontId="47" fillId="10" borderId="9" xfId="0" applyFont="1" applyFill="1" applyBorder="1" applyAlignment="1">
      <alignment wrapText="1"/>
    </xf>
    <xf numFmtId="0" fontId="39" fillId="10" borderId="9" xfId="0" applyFont="1" applyFill="1" applyBorder="1" applyAlignment="1">
      <alignment wrapText="1"/>
    </xf>
    <xf numFmtId="0" fontId="47" fillId="31" borderId="9" xfId="0" applyFont="1" applyFill="1" applyBorder="1" applyAlignment="1">
      <alignment wrapText="1"/>
    </xf>
    <xf numFmtId="0" fontId="47" fillId="43" borderId="9" xfId="0" applyFont="1" applyFill="1" applyBorder="1" applyAlignment="1">
      <alignment wrapText="1"/>
    </xf>
    <xf numFmtId="0" fontId="24" fillId="10" borderId="9" xfId="0" applyFont="1" applyFill="1" applyBorder="1" applyAlignment="1">
      <alignment wrapText="1"/>
    </xf>
    <xf numFmtId="0" fontId="39" fillId="39" borderId="9" xfId="0" applyFont="1" applyFill="1" applyBorder="1" applyAlignment="1">
      <alignment wrapText="1"/>
    </xf>
    <xf numFmtId="0" fontId="47" fillId="41" borderId="9" xfId="0" applyFont="1" applyFill="1" applyBorder="1" applyAlignment="1">
      <alignment wrapText="1"/>
    </xf>
    <xf numFmtId="0" fontId="47" fillId="13" borderId="9" xfId="0" applyFont="1" applyFill="1" applyBorder="1" applyAlignment="1">
      <alignment wrapText="1"/>
    </xf>
    <xf numFmtId="0" fontId="3" fillId="42" borderId="9" xfId="0" applyFont="1" applyFill="1" applyBorder="1"/>
    <xf numFmtId="0" fontId="47" fillId="39" borderId="9" xfId="0" applyFont="1" applyFill="1" applyBorder="1" applyAlignment="1">
      <alignment wrapText="1"/>
    </xf>
    <xf numFmtId="0" fontId="38" fillId="46" borderId="9" xfId="0" applyFont="1" applyFill="1" applyBorder="1" applyAlignment="1">
      <alignment wrapText="1"/>
    </xf>
    <xf numFmtId="0" fontId="87" fillId="42" borderId="9" xfId="0" applyFont="1" applyFill="1" applyBorder="1" applyAlignment="1">
      <alignment wrapText="1"/>
    </xf>
    <xf numFmtId="0" fontId="78" fillId="41" borderId="9" xfId="0" applyFont="1" applyFill="1" applyBorder="1" applyAlignment="1">
      <alignment wrapText="1"/>
    </xf>
    <xf numFmtId="0" fontId="39" fillId="4" borderId="9" xfId="0" applyFont="1" applyFill="1" applyBorder="1" applyAlignment="1">
      <alignment wrapText="1"/>
    </xf>
    <xf numFmtId="0" fontId="47" fillId="4" borderId="9" xfId="0" applyFont="1" applyFill="1" applyBorder="1" applyAlignment="1">
      <alignment wrapText="1"/>
    </xf>
    <xf numFmtId="0" fontId="47" fillId="41" borderId="12" xfId="0" applyFont="1" applyFill="1" applyBorder="1" applyAlignment="1">
      <alignment wrapText="1"/>
    </xf>
    <xf numFmtId="0" fontId="98" fillId="41" borderId="9" xfId="0" applyFont="1" applyFill="1" applyBorder="1" applyAlignment="1">
      <alignment horizontal="left" wrapText="1"/>
    </xf>
    <xf numFmtId="0" fontId="98" fillId="41" borderId="10" xfId="0" applyFont="1" applyFill="1" applyBorder="1" applyAlignment="1">
      <alignment horizontal="left" wrapText="1"/>
    </xf>
    <xf numFmtId="0" fontId="47" fillId="17" borderId="9" xfId="0" applyFont="1" applyFill="1" applyBorder="1" applyAlignment="1">
      <alignment wrapText="1"/>
    </xf>
    <xf numFmtId="0" fontId="98" fillId="41" borderId="11" xfId="0" applyFont="1" applyFill="1" applyBorder="1" applyAlignment="1">
      <alignment horizontal="left" wrapText="1"/>
    </xf>
    <xf numFmtId="0" fontId="39" fillId="17" borderId="9" xfId="0" applyFont="1" applyFill="1" applyBorder="1" applyAlignment="1">
      <alignment wrapText="1"/>
    </xf>
    <xf numFmtId="0" fontId="48" fillId="15" borderId="9" xfId="0" applyFont="1" applyFill="1" applyBorder="1" applyAlignment="1">
      <alignment wrapText="1"/>
    </xf>
    <xf numFmtId="0" fontId="83" fillId="31" borderId="9" xfId="0" applyFont="1" applyFill="1" applyBorder="1"/>
    <xf numFmtId="0" fontId="48" fillId="53" borderId="9" xfId="0" applyFont="1" applyFill="1" applyBorder="1" applyAlignment="1">
      <alignment wrapText="1"/>
    </xf>
    <xf numFmtId="0" fontId="48" fillId="52" borderId="12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48" fillId="15" borderId="15" xfId="0" applyFont="1" applyFill="1" applyBorder="1" applyAlignment="1">
      <alignment wrapText="1"/>
    </xf>
    <xf numFmtId="0" fontId="73" fillId="15" borderId="9" xfId="0" applyFont="1" applyFill="1" applyBorder="1" applyAlignment="1">
      <alignment wrapText="1"/>
    </xf>
    <xf numFmtId="0" fontId="47" fillId="9" borderId="9" xfId="0" applyFont="1" applyFill="1" applyBorder="1" applyAlignment="1">
      <alignment wrapText="1"/>
    </xf>
    <xf numFmtId="0" fontId="48" fillId="42" borderId="9" xfId="0" applyFont="1" applyFill="1" applyBorder="1" applyAlignment="1">
      <alignment wrapText="1"/>
    </xf>
    <xf numFmtId="0" fontId="47" fillId="10" borderId="12" xfId="0" applyFont="1" applyFill="1" applyBorder="1" applyAlignment="1">
      <alignment wrapText="1"/>
    </xf>
    <xf numFmtId="0" fontId="39" fillId="9" borderId="9" xfId="0" applyFont="1" applyFill="1" applyBorder="1" applyAlignment="1">
      <alignment wrapText="1"/>
    </xf>
    <xf numFmtId="0" fontId="4" fillId="9" borderId="9" xfId="0" applyFont="1" applyFill="1" applyBorder="1"/>
    <xf numFmtId="0" fontId="4" fillId="9" borderId="12" xfId="0" applyFont="1" applyFill="1" applyBorder="1"/>
    <xf numFmtId="0" fontId="4" fillId="9" borderId="15" xfId="0" applyFont="1" applyFill="1" applyBorder="1"/>
    <xf numFmtId="0" fontId="118" fillId="10" borderId="9" xfId="0" applyFont="1" applyFill="1" applyBorder="1" applyAlignment="1">
      <alignment wrapText="1"/>
    </xf>
    <xf numFmtId="0" fontId="52" fillId="10" borderId="9" xfId="0" applyFont="1" applyFill="1" applyBorder="1" applyAlignment="1">
      <alignment wrapText="1"/>
    </xf>
    <xf numFmtId="0" fontId="47" fillId="0" borderId="9" xfId="0" applyFont="1" applyBorder="1" applyAlignment="1">
      <alignment wrapText="1"/>
    </xf>
    <xf numFmtId="0" fontId="4" fillId="9" borderId="0" xfId="0" applyFont="1" applyFill="1"/>
    <xf numFmtId="16" fontId="5" fillId="34" borderId="1" xfId="0" applyNumberFormat="1" applyFont="1" applyFill="1" applyBorder="1" applyAlignment="1">
      <alignment horizontal="left" wrapText="1"/>
    </xf>
    <xf numFmtId="16" fontId="5" fillId="2" borderId="1" xfId="0" applyNumberFormat="1" applyFont="1" applyFill="1" applyBorder="1" applyAlignment="1">
      <alignment horizontal="left" wrapText="1"/>
    </xf>
    <xf numFmtId="164" fontId="5" fillId="2" borderId="9" xfId="0" applyNumberFormat="1" applyFont="1" applyFill="1" applyBorder="1" applyAlignment="1">
      <alignment horizontal="center" wrapText="1"/>
    </xf>
    <xf numFmtId="0" fontId="3" fillId="9" borderId="0" xfId="0" applyFont="1" applyFill="1" applyAlignment="1">
      <alignment horizontal="left"/>
    </xf>
    <xf numFmtId="16" fontId="5" fillId="2" borderId="11" xfId="0" applyNumberFormat="1" applyFont="1" applyFill="1" applyBorder="1" applyAlignment="1">
      <alignment horizontal="center" wrapText="1"/>
    </xf>
    <xf numFmtId="0" fontId="3" fillId="9" borderId="0" xfId="0" applyFont="1" applyFill="1"/>
    <xf numFmtId="0" fontId="28" fillId="18" borderId="8" xfId="0" applyFont="1" applyFill="1" applyBorder="1"/>
    <xf numFmtId="0" fontId="26" fillId="10" borderId="8" xfId="0" applyFont="1" applyFill="1" applyBorder="1" applyAlignment="1">
      <alignment wrapText="1"/>
    </xf>
    <xf numFmtId="0" fontId="53" fillId="10" borderId="1" xfId="0" applyFont="1" applyFill="1" applyBorder="1" applyAlignment="1">
      <alignment wrapText="1"/>
    </xf>
    <xf numFmtId="0" fontId="45" fillId="10" borderId="1" xfId="0" applyFont="1" applyFill="1" applyBorder="1" applyAlignment="1">
      <alignment wrapText="1"/>
    </xf>
    <xf numFmtId="0" fontId="66" fillId="10" borderId="1" xfId="0" applyFont="1" applyFill="1" applyBorder="1" applyAlignment="1">
      <alignment wrapText="1"/>
    </xf>
    <xf numFmtId="0" fontId="40" fillId="10" borderId="1" xfId="0" applyFont="1" applyFill="1" applyBorder="1" applyAlignment="1">
      <alignment wrapText="1"/>
    </xf>
    <xf numFmtId="0" fontId="40" fillId="13" borderId="1" xfId="0" applyFont="1" applyFill="1" applyBorder="1" applyAlignment="1">
      <alignment wrapText="1"/>
    </xf>
    <xf numFmtId="0" fontId="24" fillId="10" borderId="1" xfId="0" applyFont="1" applyFill="1" applyBorder="1" applyAlignment="1">
      <alignment wrapText="1"/>
    </xf>
    <xf numFmtId="0" fontId="18" fillId="10" borderId="9" xfId="0" applyFont="1" applyFill="1" applyBorder="1" applyAlignment="1">
      <alignment wrapText="1"/>
    </xf>
    <xf numFmtId="0" fontId="48" fillId="13" borderId="1" xfId="0" applyFont="1" applyFill="1" applyBorder="1" applyAlignment="1">
      <alignment wrapText="1"/>
    </xf>
    <xf numFmtId="0" fontId="47" fillId="13" borderId="1" xfId="0" applyFont="1" applyFill="1" applyBorder="1" applyAlignment="1">
      <alignment wrapText="1"/>
    </xf>
    <xf numFmtId="0" fontId="48" fillId="13" borderId="9" xfId="0" applyFont="1" applyFill="1" applyBorder="1" applyAlignment="1">
      <alignment wrapText="1"/>
    </xf>
    <xf numFmtId="0" fontId="53" fillId="10" borderId="6" xfId="0" applyFont="1" applyFill="1" applyBorder="1" applyAlignment="1">
      <alignment wrapText="1"/>
    </xf>
    <xf numFmtId="0" fontId="47" fillId="10" borderId="6" xfId="0" applyFont="1" applyFill="1" applyBorder="1" applyAlignment="1">
      <alignment wrapText="1"/>
    </xf>
    <xf numFmtId="0" fontId="4" fillId="13" borderId="9" xfId="0" applyFont="1" applyFill="1" applyBorder="1" applyAlignment="1">
      <alignment wrapText="1"/>
    </xf>
    <xf numFmtId="0" fontId="39" fillId="16" borderId="6" xfId="0" applyFont="1" applyFill="1" applyBorder="1" applyAlignment="1">
      <alignment wrapText="1"/>
    </xf>
    <xf numFmtId="0" fontId="39" fillId="16" borderId="4" xfId="0" applyFont="1" applyFill="1" applyBorder="1" applyAlignment="1">
      <alignment wrapText="1"/>
    </xf>
    <xf numFmtId="0" fontId="45" fillId="0" borderId="9" xfId="0" applyFont="1" applyBorder="1" applyAlignment="1">
      <alignment wrapText="1"/>
    </xf>
    <xf numFmtId="0" fontId="39" fillId="13" borderId="9" xfId="0" applyFont="1" applyFill="1" applyBorder="1" applyAlignment="1">
      <alignment wrapText="1"/>
    </xf>
    <xf numFmtId="0" fontId="48" fillId="41" borderId="9" xfId="0" applyFont="1" applyFill="1" applyBorder="1" applyAlignment="1">
      <alignment wrapText="1"/>
    </xf>
    <xf numFmtId="0" fontId="4" fillId="10" borderId="9" xfId="0" applyFont="1" applyFill="1" applyBorder="1" applyAlignment="1">
      <alignment wrapText="1"/>
    </xf>
    <xf numFmtId="0" fontId="24" fillId="0" borderId="9" xfId="0" applyFont="1" applyBorder="1" applyAlignment="1">
      <alignment wrapText="1"/>
    </xf>
    <xf numFmtId="0" fontId="39" fillId="38" borderId="9" xfId="0" applyFont="1" applyFill="1" applyBorder="1" applyAlignment="1">
      <alignment wrapText="1"/>
    </xf>
    <xf numFmtId="0" fontId="48" fillId="9" borderId="9" xfId="0" applyFont="1" applyFill="1" applyBorder="1" applyAlignment="1">
      <alignment wrapText="1"/>
    </xf>
    <xf numFmtId="0" fontId="18" fillId="42" borderId="9" xfId="0" applyFont="1" applyFill="1" applyBorder="1" applyAlignment="1">
      <alignment wrapText="1"/>
    </xf>
    <xf numFmtId="0" fontId="47" fillId="9" borderId="11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47" fillId="8" borderId="9" xfId="0" applyFont="1" applyFill="1" applyBorder="1" applyAlignment="1">
      <alignment wrapText="1"/>
    </xf>
    <xf numFmtId="0" fontId="47" fillId="6" borderId="9" xfId="0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  <xf numFmtId="0" fontId="47" fillId="30" borderId="9" xfId="0" applyFont="1" applyFill="1" applyBorder="1" applyAlignment="1">
      <alignment wrapText="1"/>
    </xf>
    <xf numFmtId="0" fontId="47" fillId="13" borderId="12" xfId="0" applyFont="1" applyFill="1" applyBorder="1" applyAlignment="1">
      <alignment wrapText="1"/>
    </xf>
    <xf numFmtId="0" fontId="53" fillId="24" borderId="9" xfId="0" applyFont="1" applyFill="1" applyBorder="1" applyAlignment="1">
      <alignment wrapText="1"/>
    </xf>
    <xf numFmtId="0" fontId="29" fillId="18" borderId="8" xfId="0" applyFont="1" applyFill="1" applyBorder="1" applyAlignment="1">
      <alignment wrapText="1"/>
    </xf>
    <xf numFmtId="0" fontId="43" fillId="21" borderId="1" xfId="0" applyFont="1" applyFill="1" applyBorder="1" applyAlignment="1">
      <alignment wrapText="1"/>
    </xf>
    <xf numFmtId="0" fontId="30" fillId="0" borderId="8" xfId="0" applyFont="1" applyBorder="1" applyAlignment="1">
      <alignment wrapText="1"/>
    </xf>
    <xf numFmtId="0" fontId="41" fillId="10" borderId="1" xfId="0" applyFont="1" applyFill="1" applyBorder="1" applyAlignment="1">
      <alignment wrapText="1"/>
    </xf>
    <xf numFmtId="0" fontId="67" fillId="10" borderId="1" xfId="0" applyFont="1" applyFill="1" applyBorder="1" applyAlignment="1">
      <alignment wrapText="1"/>
    </xf>
    <xf numFmtId="0" fontId="41" fillId="13" borderId="1" xfId="0" applyFont="1" applyFill="1" applyBorder="1" applyAlignment="1">
      <alignment wrapText="1"/>
    </xf>
    <xf numFmtId="0" fontId="24" fillId="0" borderId="6" xfId="0" applyFont="1" applyBorder="1" applyAlignment="1">
      <alignment wrapText="1"/>
    </xf>
    <xf numFmtId="0" fontId="39" fillId="10" borderId="2" xfId="0" applyFont="1" applyFill="1" applyBorder="1" applyAlignment="1">
      <alignment wrapText="1"/>
    </xf>
    <xf numFmtId="0" fontId="48" fillId="10" borderId="9" xfId="0" applyFont="1" applyFill="1" applyBorder="1" applyAlignment="1">
      <alignment wrapText="1"/>
    </xf>
    <xf numFmtId="0" fontId="48" fillId="44" borderId="9" xfId="0" applyFont="1" applyFill="1" applyBorder="1" applyAlignment="1">
      <alignment wrapText="1"/>
    </xf>
    <xf numFmtId="0" fontId="47" fillId="40" borderId="9" xfId="0" applyFont="1" applyFill="1" applyBorder="1" applyAlignment="1">
      <alignment wrapText="1"/>
    </xf>
    <xf numFmtId="0" fontId="45" fillId="31" borderId="9" xfId="0" applyFont="1" applyFill="1" applyBorder="1" applyAlignment="1">
      <alignment wrapText="1"/>
    </xf>
    <xf numFmtId="0" fontId="47" fillId="13" borderId="11" xfId="0" applyFont="1" applyFill="1" applyBorder="1" applyAlignment="1">
      <alignment wrapText="1"/>
    </xf>
    <xf numFmtId="0" fontId="47" fillId="17" borderId="10" xfId="0" applyFont="1" applyFill="1" applyBorder="1" applyAlignment="1">
      <alignment wrapText="1"/>
    </xf>
    <xf numFmtId="0" fontId="39" fillId="17" borderId="10" xfId="0" applyFont="1" applyFill="1" applyBorder="1" applyAlignment="1">
      <alignment wrapText="1"/>
    </xf>
    <xf numFmtId="0" fontId="18" fillId="42" borderId="19" xfId="0" applyFont="1" applyFill="1" applyBorder="1" applyAlignment="1">
      <alignment wrapText="1"/>
    </xf>
    <xf numFmtId="0" fontId="48" fillId="9" borderId="10" xfId="0" applyFont="1" applyFill="1" applyBorder="1" applyAlignment="1">
      <alignment wrapText="1"/>
    </xf>
    <xf numFmtId="0" fontId="47" fillId="13" borderId="10" xfId="0" applyFont="1" applyFill="1" applyBorder="1" applyAlignment="1">
      <alignment wrapText="1"/>
    </xf>
    <xf numFmtId="0" fontId="48" fillId="38" borderId="9" xfId="0" applyFont="1" applyFill="1" applyBorder="1" applyAlignment="1">
      <alignment wrapText="1"/>
    </xf>
    <xf numFmtId="0" fontId="28" fillId="0" borderId="8" xfId="0" applyFont="1" applyBorder="1" applyAlignment="1">
      <alignment wrapText="1"/>
    </xf>
    <xf numFmtId="0" fontId="31" fillId="0" borderId="8" xfId="0" applyFont="1" applyBorder="1" applyAlignment="1">
      <alignment wrapText="1"/>
    </xf>
    <xf numFmtId="0" fontId="46" fillId="10" borderId="3" xfId="0" applyFont="1" applyFill="1" applyBorder="1" applyAlignment="1">
      <alignment wrapText="1"/>
    </xf>
    <xf numFmtId="0" fontId="47" fillId="10" borderId="3" xfId="0" applyFont="1" applyFill="1" applyBorder="1" applyAlignment="1">
      <alignment wrapText="1"/>
    </xf>
    <xf numFmtId="0" fontId="18" fillId="13" borderId="3" xfId="0" applyFont="1" applyFill="1" applyBorder="1" applyAlignment="1">
      <alignment wrapText="1"/>
    </xf>
    <xf numFmtId="0" fontId="24" fillId="0" borderId="8" xfId="0" applyFont="1" applyBorder="1" applyAlignment="1">
      <alignment wrapText="1"/>
    </xf>
    <xf numFmtId="0" fontId="45" fillId="13" borderId="8" xfId="0" applyFont="1" applyFill="1" applyBorder="1" applyAlignment="1">
      <alignment wrapText="1"/>
    </xf>
    <xf numFmtId="0" fontId="47" fillId="13" borderId="8" xfId="0" applyFont="1" applyFill="1" applyBorder="1" applyAlignment="1">
      <alignment wrapText="1"/>
    </xf>
    <xf numFmtId="0" fontId="47" fillId="13" borderId="16" xfId="0" applyFont="1" applyFill="1" applyBorder="1" applyAlignment="1">
      <alignment wrapText="1"/>
    </xf>
    <xf numFmtId="0" fontId="48" fillId="17" borderId="9" xfId="0" applyFont="1" applyFill="1" applyBorder="1" applyAlignment="1">
      <alignment wrapText="1"/>
    </xf>
    <xf numFmtId="0" fontId="47" fillId="41" borderId="10" xfId="0" applyFont="1" applyFill="1" applyBorder="1" applyAlignment="1">
      <alignment wrapText="1"/>
    </xf>
    <xf numFmtId="0" fontId="47" fillId="41" borderId="15" xfId="0" applyFont="1" applyFill="1" applyBorder="1" applyAlignment="1">
      <alignment wrapText="1"/>
    </xf>
    <xf numFmtId="0" fontId="47" fillId="9" borderId="15" xfId="0" applyFont="1" applyFill="1" applyBorder="1" applyAlignment="1">
      <alignment wrapText="1"/>
    </xf>
    <xf numFmtId="0" fontId="48" fillId="0" borderId="9" xfId="0" applyFont="1" applyBorder="1" applyAlignment="1">
      <alignment wrapText="1"/>
    </xf>
    <xf numFmtId="0" fontId="45" fillId="13" borderId="9" xfId="0" applyFont="1" applyFill="1" applyBorder="1" applyAlignment="1">
      <alignment wrapText="1"/>
    </xf>
    <xf numFmtId="0" fontId="47" fillId="22" borderId="9" xfId="0" applyFont="1" applyFill="1" applyBorder="1" applyAlignment="1">
      <alignment wrapText="1"/>
    </xf>
    <xf numFmtId="0" fontId="26" fillId="18" borderId="8" xfId="0" applyFont="1" applyFill="1" applyBorder="1" applyAlignment="1">
      <alignment wrapText="1"/>
    </xf>
    <xf numFmtId="0" fontId="30" fillId="22" borderId="8" xfId="0" applyFont="1" applyFill="1" applyBorder="1" applyAlignment="1">
      <alignment wrapText="1"/>
    </xf>
    <xf numFmtId="0" fontId="26" fillId="22" borderId="8" xfId="0" applyFont="1" applyFill="1" applyBorder="1" applyAlignment="1">
      <alignment wrapText="1"/>
    </xf>
    <xf numFmtId="0" fontId="48" fillId="21" borderId="3" xfId="0" applyFont="1" applyFill="1" applyBorder="1" applyAlignment="1">
      <alignment wrapText="1"/>
    </xf>
    <xf numFmtId="0" fontId="45" fillId="21" borderId="3" xfId="0" applyFont="1" applyFill="1" applyBorder="1" applyAlignment="1">
      <alignment wrapText="1"/>
    </xf>
    <xf numFmtId="0" fontId="42" fillId="10" borderId="3" xfId="0" applyFont="1" applyFill="1" applyBorder="1" applyAlignment="1">
      <alignment wrapText="1"/>
    </xf>
    <xf numFmtId="0" fontId="42" fillId="31" borderId="3" xfId="0" applyFont="1" applyFill="1" applyBorder="1" applyAlignment="1">
      <alignment wrapText="1"/>
    </xf>
    <xf numFmtId="0" fontId="39" fillId="25" borderId="3" xfId="0" applyFont="1" applyFill="1" applyBorder="1" applyAlignment="1">
      <alignment wrapText="1"/>
    </xf>
    <xf numFmtId="0" fontId="39" fillId="31" borderId="3" xfId="0" applyFont="1" applyFill="1" applyBorder="1" applyAlignment="1">
      <alignment wrapText="1"/>
    </xf>
    <xf numFmtId="0" fontId="24" fillId="10" borderId="8" xfId="0" applyFont="1" applyFill="1" applyBorder="1" applyAlignment="1">
      <alignment wrapText="1"/>
    </xf>
    <xf numFmtId="0" fontId="47" fillId="41" borderId="8" xfId="0" applyFont="1" applyFill="1" applyBorder="1" applyAlignment="1">
      <alignment wrapText="1"/>
    </xf>
    <xf numFmtId="0" fontId="45" fillId="13" borderId="4" xfId="0" applyFont="1" applyFill="1" applyBorder="1" applyAlignment="1">
      <alignment wrapText="1"/>
    </xf>
    <xf numFmtId="0" fontId="14" fillId="10" borderId="9" xfId="0" applyFont="1" applyFill="1" applyBorder="1"/>
    <xf numFmtId="0" fontId="48" fillId="43" borderId="9" xfId="0" applyFont="1" applyFill="1" applyBorder="1" applyAlignment="1">
      <alignment wrapText="1"/>
    </xf>
    <xf numFmtId="0" fontId="48" fillId="4" borderId="10" xfId="0" applyFont="1" applyFill="1" applyBorder="1" applyAlignment="1">
      <alignment wrapText="1"/>
    </xf>
    <xf numFmtId="0" fontId="47" fillId="10" borderId="10" xfId="0" applyFont="1" applyFill="1" applyBorder="1" applyAlignment="1">
      <alignment wrapText="1"/>
    </xf>
    <xf numFmtId="0" fontId="39" fillId="0" borderId="9" xfId="0" applyFont="1" applyBorder="1" applyAlignment="1">
      <alignment wrapText="1"/>
    </xf>
    <xf numFmtId="0" fontId="47" fillId="4" borderId="12" xfId="0" applyFont="1" applyFill="1" applyBorder="1" applyAlignment="1">
      <alignment wrapText="1"/>
    </xf>
    <xf numFmtId="0" fontId="48" fillId="31" borderId="9" xfId="0" applyFont="1" applyFill="1" applyBorder="1" applyAlignment="1">
      <alignment wrapText="1"/>
    </xf>
    <xf numFmtId="0" fontId="14" fillId="13" borderId="9" xfId="0" applyFont="1" applyFill="1" applyBorder="1"/>
    <xf numFmtId="0" fontId="46" fillId="20" borderId="9" xfId="0" applyFont="1" applyFill="1" applyBorder="1" applyAlignment="1">
      <alignment wrapText="1"/>
    </xf>
    <xf numFmtId="0" fontId="54" fillId="8" borderId="17" xfId="0" applyFont="1" applyFill="1" applyBorder="1" applyAlignment="1">
      <alignment wrapText="1"/>
    </xf>
    <xf numFmtId="0" fontId="28" fillId="18" borderId="7" xfId="0" applyFont="1" applyFill="1" applyBorder="1" applyAlignment="1">
      <alignment wrapText="1"/>
    </xf>
    <xf numFmtId="0" fontId="45" fillId="21" borderId="17" xfId="0" applyFont="1" applyFill="1" applyBorder="1" applyAlignment="1">
      <alignment wrapText="1"/>
    </xf>
    <xf numFmtId="0" fontId="45" fillId="10" borderId="17" xfId="0" applyFont="1" applyFill="1" applyBorder="1" applyAlignment="1">
      <alignment wrapText="1"/>
    </xf>
    <xf numFmtId="0" fontId="46" fillId="10" borderId="17" xfId="0" applyFont="1" applyFill="1" applyBorder="1" applyAlignment="1">
      <alignment wrapText="1"/>
    </xf>
    <xf numFmtId="0" fontId="48" fillId="10" borderId="17" xfId="0" applyFont="1" applyFill="1" applyBorder="1" applyAlignment="1">
      <alignment wrapText="1"/>
    </xf>
    <xf numFmtId="0" fontId="46" fillId="13" borderId="17" xfId="0" applyFont="1" applyFill="1" applyBorder="1" applyAlignment="1">
      <alignment wrapText="1"/>
    </xf>
    <xf numFmtId="0" fontId="43" fillId="10" borderId="17" xfId="0" applyFont="1" applyFill="1" applyBorder="1" applyAlignment="1">
      <alignment wrapText="1"/>
    </xf>
    <xf numFmtId="0" fontId="45" fillId="13" borderId="17" xfId="0" applyFont="1" applyFill="1" applyBorder="1" applyAlignment="1">
      <alignment wrapText="1"/>
    </xf>
    <xf numFmtId="0" fontId="24" fillId="10" borderId="17" xfId="0" applyFont="1" applyFill="1" applyBorder="1" applyAlignment="1">
      <alignment wrapText="1"/>
    </xf>
    <xf numFmtId="0" fontId="42" fillId="10" borderId="17" xfId="0" applyFont="1" applyFill="1" applyBorder="1" applyAlignment="1">
      <alignment wrapText="1"/>
    </xf>
    <xf numFmtId="0" fontId="36" fillId="10" borderId="7" xfId="0" applyFont="1" applyFill="1" applyBorder="1" applyAlignment="1">
      <alignment wrapText="1"/>
    </xf>
    <xf numFmtId="0" fontId="39" fillId="10" borderId="5" xfId="0" applyFont="1" applyFill="1" applyBorder="1" applyAlignment="1">
      <alignment wrapText="1"/>
    </xf>
    <xf numFmtId="0" fontId="47" fillId="10" borderId="5" xfId="0" applyFont="1" applyFill="1" applyBorder="1" applyAlignment="1">
      <alignment wrapText="1"/>
    </xf>
    <xf numFmtId="0" fontId="24" fillId="0" borderId="7" xfId="0" applyFont="1" applyBorder="1" applyAlignment="1">
      <alignment wrapText="1"/>
    </xf>
    <xf numFmtId="0" fontId="47" fillId="10" borderId="7" xfId="0" applyFont="1" applyFill="1" applyBorder="1" applyAlignment="1">
      <alignment wrapText="1"/>
    </xf>
    <xf numFmtId="0" fontId="39" fillId="10" borderId="7" xfId="0" applyFont="1" applyFill="1" applyBorder="1" applyAlignment="1">
      <alignment wrapText="1"/>
    </xf>
    <xf numFmtId="0" fontId="24" fillId="10" borderId="7" xfId="0" applyFont="1" applyFill="1" applyBorder="1" applyAlignment="1">
      <alignment wrapText="1"/>
    </xf>
    <xf numFmtId="0" fontId="24" fillId="13" borderId="7" xfId="0" applyFont="1" applyFill="1" applyBorder="1" applyAlignment="1">
      <alignment wrapText="1"/>
    </xf>
    <xf numFmtId="0" fontId="47" fillId="41" borderId="7" xfId="0" applyFont="1" applyFill="1" applyBorder="1" applyAlignment="1">
      <alignment wrapText="1"/>
    </xf>
    <xf numFmtId="0" fontId="47" fillId="13" borderId="7" xfId="0" applyFont="1" applyFill="1" applyBorder="1" applyAlignment="1">
      <alignment wrapText="1"/>
    </xf>
    <xf numFmtId="0" fontId="39" fillId="10" borderId="0" xfId="0" applyFont="1" applyFill="1" applyAlignment="1">
      <alignment wrapText="1"/>
    </xf>
    <xf numFmtId="0" fontId="43" fillId="10" borderId="9" xfId="0" applyFont="1" applyFill="1" applyBorder="1" applyAlignment="1">
      <alignment wrapText="1"/>
    </xf>
    <xf numFmtId="0" fontId="45" fillId="10" borderId="9" xfId="0" applyFont="1" applyFill="1" applyBorder="1" applyAlignment="1">
      <alignment wrapText="1"/>
    </xf>
    <xf numFmtId="0" fontId="47" fillId="44" borderId="9" xfId="0" applyFont="1" applyFill="1" applyBorder="1" applyAlignment="1">
      <alignment wrapText="1"/>
    </xf>
    <xf numFmtId="0" fontId="45" fillId="7" borderId="9" xfId="0" applyFont="1" applyFill="1" applyBorder="1" applyAlignment="1">
      <alignment wrapText="1"/>
    </xf>
    <xf numFmtId="0" fontId="100" fillId="39" borderId="9" xfId="0" applyFont="1" applyFill="1" applyBorder="1" applyAlignment="1">
      <alignment wrapText="1"/>
    </xf>
    <xf numFmtId="0" fontId="101" fillId="41" borderId="9" xfId="0" applyFont="1" applyFill="1" applyBorder="1" applyAlignment="1">
      <alignment wrapText="1"/>
    </xf>
    <xf numFmtId="0" fontId="101" fillId="7" borderId="12" xfId="0" applyFont="1" applyFill="1" applyBorder="1" applyAlignment="1">
      <alignment wrapText="1"/>
    </xf>
    <xf numFmtId="0" fontId="103" fillId="13" borderId="9" xfId="0" applyFont="1" applyFill="1" applyBorder="1" applyAlignment="1">
      <alignment wrapText="1"/>
    </xf>
    <xf numFmtId="0" fontId="101" fillId="13" borderId="9" xfId="0" applyFont="1" applyFill="1" applyBorder="1" applyAlignment="1">
      <alignment wrapText="1"/>
    </xf>
    <xf numFmtId="0" fontId="101" fillId="13" borderId="15" xfId="0" applyFont="1" applyFill="1" applyBorder="1" applyAlignment="1">
      <alignment wrapText="1"/>
    </xf>
    <xf numFmtId="0" fontId="101" fillId="41" borderId="15" xfId="0" applyFont="1" applyFill="1" applyBorder="1" applyAlignment="1">
      <alignment wrapText="1"/>
    </xf>
    <xf numFmtId="0" fontId="100" fillId="9" borderId="9" xfId="0" applyFont="1" applyFill="1" applyBorder="1" applyAlignment="1">
      <alignment wrapText="1"/>
    </xf>
    <xf numFmtId="0" fontId="100" fillId="17" borderId="9" xfId="0" applyFont="1" applyFill="1" applyBorder="1" applyAlignment="1">
      <alignment wrapText="1"/>
    </xf>
    <xf numFmtId="0" fontId="104" fillId="42" borderId="12" xfId="0" applyFont="1" applyFill="1" applyBorder="1" applyAlignment="1">
      <alignment wrapText="1"/>
    </xf>
    <xf numFmtId="0" fontId="103" fillId="9" borderId="9" xfId="0" applyFont="1" applyFill="1" applyBorder="1"/>
    <xf numFmtId="0" fontId="103" fillId="9" borderId="0" xfId="0" applyFont="1" applyFill="1"/>
    <xf numFmtId="0" fontId="101" fillId="7" borderId="9" xfId="0" applyFont="1" applyFill="1" applyBorder="1" applyAlignment="1">
      <alignment wrapText="1"/>
    </xf>
    <xf numFmtId="0" fontId="101" fillId="13" borderId="10" xfId="0" applyFont="1" applyFill="1" applyBorder="1" applyAlignment="1">
      <alignment wrapText="1"/>
    </xf>
    <xf numFmtId="0" fontId="104" fillId="40" borderId="9" xfId="0" applyFont="1" applyFill="1" applyBorder="1" applyAlignment="1">
      <alignment wrapText="1"/>
    </xf>
    <xf numFmtId="0" fontId="101" fillId="4" borderId="9" xfId="0" applyFont="1" applyFill="1" applyBorder="1" applyAlignment="1">
      <alignment wrapText="1"/>
    </xf>
    <xf numFmtId="0" fontId="102" fillId="42" borderId="9" xfId="0" applyFont="1" applyFill="1" applyBorder="1" applyAlignment="1">
      <alignment wrapText="1"/>
    </xf>
    <xf numFmtId="0" fontId="47" fillId="7" borderId="9" xfId="0" applyFont="1" applyFill="1" applyBorder="1" applyAlignment="1">
      <alignment wrapText="1"/>
    </xf>
    <xf numFmtId="0" fontId="4" fillId="9" borderId="10" xfId="0" applyFont="1" applyFill="1" applyBorder="1"/>
    <xf numFmtId="0" fontId="54" fillId="8" borderId="9" xfId="0" applyFont="1" applyFill="1" applyBorder="1" applyAlignment="1">
      <alignment wrapText="1"/>
    </xf>
    <xf numFmtId="0" fontId="28" fillId="18" borderId="9" xfId="0" applyFont="1" applyFill="1" applyBorder="1" applyAlignment="1">
      <alignment wrapText="1"/>
    </xf>
    <xf numFmtId="0" fontId="28" fillId="18" borderId="9" xfId="0" applyFont="1" applyFill="1" applyBorder="1"/>
    <xf numFmtId="0" fontId="30" fillId="18" borderId="9" xfId="0" applyFont="1" applyFill="1" applyBorder="1" applyAlignment="1">
      <alignment wrapText="1"/>
    </xf>
    <xf numFmtId="0" fontId="26" fillId="0" borderId="9" xfId="0" applyFont="1" applyBorder="1" applyAlignment="1">
      <alignment wrapText="1"/>
    </xf>
    <xf numFmtId="0" fontId="28" fillId="0" borderId="9" xfId="0" applyFont="1" applyBorder="1" applyAlignment="1">
      <alignment wrapText="1"/>
    </xf>
    <xf numFmtId="0" fontId="26" fillId="10" borderId="9" xfId="0" applyFont="1" applyFill="1" applyBorder="1" applyAlignment="1">
      <alignment wrapText="1"/>
    </xf>
    <xf numFmtId="0" fontId="36" fillId="10" borderId="9" xfId="0" applyFont="1" applyFill="1" applyBorder="1" applyAlignment="1">
      <alignment wrapText="1"/>
    </xf>
    <xf numFmtId="0" fontId="37" fillId="10" borderId="9" xfId="0" applyFont="1" applyFill="1" applyBorder="1" applyAlignment="1">
      <alignment wrapText="1"/>
    </xf>
    <xf numFmtId="0" fontId="28" fillId="10" borderId="9" xfId="0" applyFont="1" applyFill="1" applyBorder="1" applyAlignment="1">
      <alignment wrapText="1"/>
    </xf>
    <xf numFmtId="0" fontId="38" fillId="10" borderId="9" xfId="0" applyFont="1" applyFill="1" applyBorder="1" applyAlignment="1">
      <alignment wrapText="1"/>
    </xf>
    <xf numFmtId="0" fontId="30" fillId="10" borderId="9" xfId="0" applyFont="1" applyFill="1" applyBorder="1" applyAlignment="1">
      <alignment wrapText="1"/>
    </xf>
    <xf numFmtId="0" fontId="45" fillId="10" borderId="9" xfId="0" applyFont="1" applyFill="1" applyBorder="1" applyAlignment="1">
      <alignment horizontal="left" wrapText="1"/>
    </xf>
    <xf numFmtId="0" fontId="38" fillId="13" borderId="9" xfId="0" applyFont="1" applyFill="1" applyBorder="1" applyAlignment="1">
      <alignment wrapText="1"/>
    </xf>
    <xf numFmtId="0" fontId="28" fillId="10" borderId="9" xfId="0" applyFont="1" applyFill="1" applyBorder="1"/>
    <xf numFmtId="0" fontId="28" fillId="41" borderId="9" xfId="0" applyFont="1" applyFill="1" applyBorder="1"/>
    <xf numFmtId="0" fontId="28" fillId="10" borderId="12" xfId="0" applyFont="1" applyFill="1" applyBorder="1" applyAlignment="1">
      <alignment wrapText="1"/>
    </xf>
    <xf numFmtId="0" fontId="26" fillId="42" borderId="9" xfId="0" applyFont="1" applyFill="1" applyBorder="1"/>
    <xf numFmtId="0" fontId="36" fillId="31" borderId="9" xfId="0" applyFont="1" applyFill="1" applyBorder="1" applyAlignment="1">
      <alignment wrapText="1"/>
    </xf>
    <xf numFmtId="0" fontId="87" fillId="4" borderId="9" xfId="0" applyFont="1" applyFill="1" applyBorder="1" applyAlignment="1">
      <alignment wrapText="1"/>
    </xf>
    <xf numFmtId="0" fontId="24" fillId="9" borderId="10" xfId="0" applyFont="1" applyFill="1" applyBorder="1" applyAlignment="1">
      <alignment wrapText="1"/>
    </xf>
    <xf numFmtId="0" fontId="23" fillId="9" borderId="10" xfId="0" applyFont="1" applyFill="1" applyBorder="1" applyAlignment="1">
      <alignment wrapText="1"/>
    </xf>
    <xf numFmtId="0" fontId="21" fillId="41" borderId="9" xfId="0" applyFont="1" applyFill="1" applyBorder="1" applyAlignment="1">
      <alignment wrapText="1"/>
    </xf>
    <xf numFmtId="0" fontId="21" fillId="9" borderId="9" xfId="0" applyFont="1" applyFill="1" applyBorder="1" applyAlignment="1">
      <alignment wrapText="1"/>
    </xf>
    <xf numFmtId="0" fontId="39" fillId="37" borderId="9" xfId="0" applyFont="1" applyFill="1" applyBorder="1" applyAlignment="1">
      <alignment wrapText="1"/>
    </xf>
    <xf numFmtId="0" fontId="4" fillId="9" borderId="9" xfId="0" applyFont="1" applyFill="1" applyBorder="1" applyAlignment="1">
      <alignment wrapText="1"/>
    </xf>
    <xf numFmtId="0" fontId="87" fillId="42" borderId="10" xfId="0" applyFont="1" applyFill="1" applyBorder="1" applyAlignment="1">
      <alignment wrapText="1"/>
    </xf>
    <xf numFmtId="0" fontId="4" fillId="38" borderId="9" xfId="0" applyFont="1" applyFill="1" applyBorder="1" applyAlignment="1">
      <alignment wrapText="1"/>
    </xf>
    <xf numFmtId="0" fontId="4" fillId="4" borderId="9" xfId="0" applyFont="1" applyFill="1" applyBorder="1"/>
    <xf numFmtId="0" fontId="4" fillId="9" borderId="0" xfId="0" applyFont="1" applyFill="1" applyAlignment="1">
      <alignment wrapText="1"/>
    </xf>
    <xf numFmtId="0" fontId="4" fillId="53" borderId="9" xfId="0" applyFont="1" applyFill="1" applyBorder="1" applyAlignment="1">
      <alignment vertical="center" wrapText="1"/>
    </xf>
    <xf numFmtId="0" fontId="47" fillId="10" borderId="11" xfId="0" applyFont="1" applyFill="1" applyBorder="1" applyAlignment="1">
      <alignment wrapText="1"/>
    </xf>
    <xf numFmtId="0" fontId="18" fillId="38" borderId="6" xfId="0" applyFont="1" applyFill="1" applyBorder="1" applyAlignment="1">
      <alignment wrapText="1"/>
    </xf>
    <xf numFmtId="0" fontId="47" fillId="45" borderId="6" xfId="0" applyFont="1" applyFill="1" applyBorder="1" applyAlignment="1">
      <alignment wrapText="1"/>
    </xf>
    <xf numFmtId="0" fontId="48" fillId="9" borderId="9" xfId="0" applyFont="1" applyFill="1" applyBorder="1" applyAlignment="1">
      <alignment horizontal="left" vertical="center" wrapText="1"/>
    </xf>
    <xf numFmtId="0" fontId="47" fillId="7" borderId="11" xfId="0" applyFont="1" applyFill="1" applyBorder="1" applyAlignment="1">
      <alignment wrapText="1"/>
    </xf>
    <xf numFmtId="0" fontId="47" fillId="10" borderId="18" xfId="0" applyFont="1" applyFill="1" applyBorder="1" applyAlignment="1">
      <alignment wrapText="1"/>
    </xf>
    <xf numFmtId="0" fontId="64" fillId="0" borderId="15" xfId="0" applyFont="1" applyBorder="1" applyAlignment="1">
      <alignment vertical="center" wrapText="1"/>
    </xf>
    <xf numFmtId="0" fontId="1" fillId="9" borderId="12" xfId="0" applyFont="1" applyFill="1" applyBorder="1" applyAlignment="1">
      <alignment vertical="center" wrapText="1"/>
    </xf>
    <xf numFmtId="0" fontId="76" fillId="4" borderId="9" xfId="0" applyFont="1" applyFill="1" applyBorder="1" applyAlignment="1">
      <alignment vertical="top" wrapText="1"/>
    </xf>
    <xf numFmtId="0" fontId="4" fillId="17" borderId="12" xfId="0" applyFont="1" applyFill="1" applyBorder="1" applyAlignment="1">
      <alignment vertical="center" wrapText="1"/>
    </xf>
    <xf numFmtId="16" fontId="5" fillId="2" borderId="18" xfId="0" applyNumberFormat="1" applyFont="1" applyFill="1" applyBorder="1" applyAlignment="1">
      <alignment horizontal="center" vertical="top" wrapText="1"/>
    </xf>
    <xf numFmtId="0" fontId="38" fillId="8" borderId="9" xfId="0" applyFont="1" applyFill="1" applyBorder="1" applyAlignment="1">
      <alignment vertical="center" wrapText="1"/>
    </xf>
    <xf numFmtId="0" fontId="119" fillId="0" borderId="1" xfId="0" applyFont="1" applyBorder="1" applyAlignment="1">
      <alignment wrapText="1"/>
    </xf>
    <xf numFmtId="0" fontId="4" fillId="40" borderId="9" xfId="0" applyFont="1" applyFill="1" applyBorder="1" applyAlignment="1">
      <alignment vertical="center" wrapText="1"/>
    </xf>
    <xf numFmtId="0" fontId="121" fillId="4" borderId="9" xfId="0" applyFont="1" applyFill="1" applyBorder="1" applyAlignment="1">
      <alignment vertical="center" wrapText="1"/>
    </xf>
    <xf numFmtId="0" fontId="121" fillId="4" borderId="12" xfId="0" applyFont="1" applyFill="1" applyBorder="1" applyAlignment="1">
      <alignment vertical="center" wrapText="1"/>
    </xf>
    <xf numFmtId="0" fontId="39" fillId="9" borderId="6" xfId="0" applyFont="1" applyFill="1" applyBorder="1" applyAlignment="1">
      <alignment wrapText="1"/>
    </xf>
    <xf numFmtId="0" fontId="12" fillId="6" borderId="9" xfId="0" applyFont="1" applyFill="1" applyBorder="1" applyAlignment="1">
      <alignment vertical="center" wrapText="1"/>
    </xf>
    <xf numFmtId="0" fontId="60" fillId="17" borderId="9" xfId="0" applyFont="1" applyFill="1" applyBorder="1" applyAlignment="1">
      <alignment vertical="center" wrapText="1"/>
    </xf>
    <xf numFmtId="0" fontId="25" fillId="8" borderId="9" xfId="0" applyFont="1" applyFill="1" applyBorder="1" applyAlignment="1">
      <alignment vertical="center" wrapText="1"/>
    </xf>
    <xf numFmtId="0" fontId="4" fillId="10" borderId="9" xfId="0" applyFont="1" applyFill="1" applyBorder="1" applyAlignment="1">
      <alignment vertical="center" wrapText="1"/>
    </xf>
    <xf numFmtId="0" fontId="21" fillId="9" borderId="10" xfId="0" applyFont="1" applyFill="1" applyBorder="1" applyAlignment="1">
      <alignment horizontal="left" vertical="center" wrapText="1"/>
    </xf>
    <xf numFmtId="0" fontId="12" fillId="10" borderId="9" xfId="0" applyFont="1" applyFill="1" applyBorder="1" applyAlignment="1">
      <alignment vertical="center" wrapText="1"/>
    </xf>
    <xf numFmtId="0" fontId="48" fillId="9" borderId="6" xfId="0" applyFont="1" applyFill="1" applyBorder="1" applyAlignment="1">
      <alignment wrapText="1"/>
    </xf>
    <xf numFmtId="0" fontId="18" fillId="9" borderId="6" xfId="0" applyFont="1" applyFill="1" applyBorder="1" applyAlignment="1">
      <alignment wrapText="1"/>
    </xf>
    <xf numFmtId="0" fontId="47" fillId="38" borderId="9" xfId="0" applyFont="1" applyFill="1" applyBorder="1" applyAlignment="1">
      <alignment wrapText="1"/>
    </xf>
    <xf numFmtId="0" fontId="76" fillId="30" borderId="9" xfId="0" applyFont="1" applyFill="1" applyBorder="1" applyAlignment="1">
      <alignment vertical="top" wrapText="1"/>
    </xf>
    <xf numFmtId="0" fontId="39" fillId="10" borderId="11" xfId="0" applyFont="1" applyFill="1" applyBorder="1" applyAlignment="1">
      <alignment wrapText="1"/>
    </xf>
    <xf numFmtId="0" fontId="4" fillId="10" borderId="11" xfId="0" applyFont="1" applyFill="1" applyBorder="1"/>
    <xf numFmtId="0" fontId="4" fillId="55" borderId="18" xfId="0" applyFont="1" applyFill="1" applyBorder="1"/>
    <xf numFmtId="0" fontId="4" fillId="6" borderId="9" xfId="0" applyFont="1" applyFill="1" applyBorder="1"/>
    <xf numFmtId="0" fontId="45" fillId="37" borderId="9" xfId="0" applyFont="1" applyFill="1" applyBorder="1" applyAlignment="1">
      <alignment wrapText="1"/>
    </xf>
    <xf numFmtId="0" fontId="64" fillId="0" borderId="0" xfId="0" applyFont="1" applyAlignment="1">
      <alignment vertical="center" wrapText="1"/>
    </xf>
    <xf numFmtId="0" fontId="114" fillId="0" borderId="0" xfId="0" applyFont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0" fontId="48" fillId="9" borderId="11" xfId="0" applyFont="1" applyFill="1" applyBorder="1" applyAlignment="1">
      <alignment wrapText="1"/>
    </xf>
    <xf numFmtId="0" fontId="48" fillId="42" borderId="18" xfId="0" applyFont="1" applyFill="1" applyBorder="1" applyAlignment="1">
      <alignment wrapText="1"/>
    </xf>
    <xf numFmtId="0" fontId="47" fillId="10" borderId="22" xfId="0" applyFont="1" applyFill="1" applyBorder="1" applyAlignment="1">
      <alignment wrapText="1"/>
    </xf>
    <xf numFmtId="0" fontId="123" fillId="17" borderId="15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3" fillId="41" borderId="9" xfId="0" applyFont="1" applyFill="1" applyBorder="1" applyAlignment="1">
      <alignment horizontal="center" vertical="center"/>
    </xf>
    <xf numFmtId="0" fontId="4" fillId="38" borderId="10" xfId="0" applyFont="1" applyFill="1" applyBorder="1" applyAlignment="1">
      <alignment vertical="center" wrapText="1"/>
    </xf>
    <xf numFmtId="0" fontId="128" fillId="15" borderId="9" xfId="0" applyFont="1" applyFill="1" applyBorder="1" applyAlignment="1">
      <alignment vertical="top" wrapText="1"/>
    </xf>
    <xf numFmtId="0" fontId="76" fillId="15" borderId="9" xfId="0" applyFont="1" applyFill="1" applyBorder="1" applyAlignment="1">
      <alignment horizontal="center" vertical="center" wrapText="1"/>
    </xf>
    <xf numFmtId="0" fontId="129" fillId="0" borderId="9" xfId="0" applyFont="1" applyBorder="1" applyAlignment="1">
      <alignment wrapText="1"/>
    </xf>
    <xf numFmtId="0" fontId="88" fillId="0" borderId="12" xfId="0" applyFont="1" applyBorder="1" applyAlignment="1">
      <alignment vertical="top" wrapText="1"/>
    </xf>
    <xf numFmtId="0" fontId="4" fillId="38" borderId="9" xfId="0" applyFont="1" applyFill="1" applyBorder="1" applyAlignment="1">
      <alignment vertical="center" wrapText="1"/>
    </xf>
    <xf numFmtId="0" fontId="127" fillId="9" borderId="1" xfId="0" applyFont="1" applyFill="1" applyBorder="1" applyAlignment="1">
      <alignment vertical="center" wrapText="1"/>
    </xf>
    <xf numFmtId="0" fontId="116" fillId="0" borderId="12" xfId="0" applyFont="1" applyBorder="1" applyAlignment="1">
      <alignment vertical="top" wrapText="1"/>
    </xf>
    <xf numFmtId="0" fontId="59" fillId="8" borderId="9" xfId="0" applyFont="1" applyFill="1" applyBorder="1" applyAlignment="1">
      <alignment vertical="center" wrapText="1"/>
    </xf>
    <xf numFmtId="0" fontId="28" fillId="4" borderId="9" xfId="0" applyFont="1" applyFill="1" applyBorder="1" applyAlignment="1">
      <alignment vertical="center" wrapText="1"/>
    </xf>
    <xf numFmtId="0" fontId="48" fillId="38" borderId="6" xfId="0" applyFont="1" applyFill="1" applyBorder="1" applyAlignment="1">
      <alignment wrapText="1"/>
    </xf>
    <xf numFmtId="0" fontId="48" fillId="4" borderId="6" xfId="0" applyFont="1" applyFill="1" applyBorder="1" applyAlignment="1">
      <alignment wrapText="1"/>
    </xf>
    <xf numFmtId="0" fontId="3" fillId="3" borderId="25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top"/>
    </xf>
    <xf numFmtId="0" fontId="59" fillId="4" borderId="9" xfId="0" applyFont="1" applyFill="1" applyBorder="1" applyAlignment="1">
      <alignment vertical="center" wrapText="1"/>
    </xf>
    <xf numFmtId="0" fontId="45" fillId="36" borderId="9" xfId="0" applyFont="1" applyFill="1" applyBorder="1" applyAlignment="1">
      <alignment vertical="top" wrapText="1"/>
    </xf>
    <xf numFmtId="0" fontId="25" fillId="38" borderId="9" xfId="0" applyFont="1" applyFill="1" applyBorder="1" applyAlignment="1">
      <alignment vertical="center" wrapText="1"/>
    </xf>
    <xf numFmtId="0" fontId="4" fillId="17" borderId="12" xfId="0" applyFont="1" applyFill="1" applyBorder="1"/>
    <xf numFmtId="0" fontId="123" fillId="0" borderId="9" xfId="0" applyFont="1" applyBorder="1" applyAlignment="1">
      <alignment wrapText="1"/>
    </xf>
    <xf numFmtId="0" fontId="48" fillId="9" borderId="4" xfId="0" applyFont="1" applyFill="1" applyBorder="1" applyAlignment="1">
      <alignment wrapText="1"/>
    </xf>
    <xf numFmtId="0" fontId="22" fillId="9" borderId="9" xfId="0" applyFont="1" applyFill="1" applyBorder="1"/>
    <xf numFmtId="0" fontId="25" fillId="38" borderId="9" xfId="0" applyFont="1" applyFill="1" applyBorder="1" applyAlignment="1">
      <alignment wrapText="1"/>
    </xf>
    <xf numFmtId="2" fontId="0" fillId="17" borderId="1" xfId="0" applyNumberFormat="1" applyFill="1" applyBorder="1" applyAlignment="1">
      <alignment horizontal="left" wrapText="1"/>
    </xf>
    <xf numFmtId="164" fontId="14" fillId="2" borderId="9" xfId="0" applyNumberFormat="1" applyFont="1" applyFill="1" applyBorder="1" applyAlignment="1">
      <alignment horizontal="center" wrapText="1"/>
    </xf>
    <xf numFmtId="0" fontId="4" fillId="8" borderId="9" xfId="0" applyFont="1" applyFill="1" applyBorder="1" applyAlignment="1">
      <alignment vertical="top" wrapText="1"/>
    </xf>
    <xf numFmtId="2" fontId="130" fillId="17" borderId="1" xfId="0" applyNumberFormat="1" applyFont="1" applyFill="1" applyBorder="1" applyAlignment="1">
      <alignment horizontal="left" vertical="top" wrapText="1"/>
    </xf>
    <xf numFmtId="2" fontId="130" fillId="6" borderId="1" xfId="0" applyNumberFormat="1" applyFont="1" applyFill="1" applyBorder="1" applyAlignment="1">
      <alignment horizontal="left" wrapText="1"/>
    </xf>
    <xf numFmtId="0" fontId="135" fillId="3" borderId="1" xfId="0" applyFont="1" applyFill="1" applyBorder="1" applyAlignment="1">
      <alignment horizontal="center" vertical="center" wrapText="1"/>
    </xf>
    <xf numFmtId="0" fontId="4" fillId="35" borderId="10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vertical="center" wrapText="1"/>
    </xf>
    <xf numFmtId="0" fontId="4" fillId="9" borderId="29" xfId="0" applyFont="1" applyFill="1" applyBorder="1" applyAlignment="1">
      <alignment horizontal="left" vertical="center" wrapText="1"/>
    </xf>
    <xf numFmtId="0" fontId="36" fillId="36" borderId="11" xfId="0" applyFont="1" applyFill="1" applyBorder="1" applyAlignment="1">
      <alignment vertical="center" wrapText="1"/>
    </xf>
    <xf numFmtId="0" fontId="4" fillId="10" borderId="28" xfId="0" applyFont="1" applyFill="1" applyBorder="1"/>
    <xf numFmtId="0" fontId="77" fillId="9" borderId="9" xfId="0" applyFont="1" applyFill="1" applyBorder="1" applyAlignment="1">
      <alignment wrapText="1"/>
    </xf>
    <xf numFmtId="0" fontId="34" fillId="9" borderId="22" xfId="0" applyFont="1" applyFill="1" applyBorder="1" applyAlignment="1">
      <alignment vertical="center" wrapText="1"/>
    </xf>
    <xf numFmtId="0" fontId="21" fillId="9" borderId="22" xfId="0" applyFont="1" applyFill="1" applyBorder="1" applyAlignment="1">
      <alignment vertical="center" wrapText="1"/>
    </xf>
    <xf numFmtId="0" fontId="137" fillId="0" borderId="22" xfId="0" applyFont="1" applyBorder="1" applyAlignment="1">
      <alignment vertical="center" wrapText="1"/>
    </xf>
    <xf numFmtId="0" fontId="137" fillId="0" borderId="26" xfId="0" applyFont="1" applyBorder="1" applyAlignment="1">
      <alignment vertical="center" wrapText="1"/>
    </xf>
    <xf numFmtId="0" fontId="22" fillId="6" borderId="9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horizontal="left" vertical="center" wrapText="1"/>
    </xf>
    <xf numFmtId="0" fontId="48" fillId="38" borderId="1" xfId="0" applyFont="1" applyFill="1" applyBorder="1" applyAlignment="1">
      <alignment vertical="center" wrapText="1"/>
    </xf>
    <xf numFmtId="0" fontId="123" fillId="9" borderId="0" xfId="0" applyFont="1" applyFill="1"/>
    <xf numFmtId="0" fontId="48" fillId="9" borderId="12" xfId="0" applyFont="1" applyFill="1" applyBorder="1" applyAlignment="1">
      <alignment wrapText="1"/>
    </xf>
    <xf numFmtId="0" fontId="21" fillId="10" borderId="9" xfId="0" applyFont="1" applyFill="1" applyBorder="1" applyAlignment="1">
      <alignment vertical="center" wrapText="1"/>
    </xf>
    <xf numFmtId="0" fontId="21" fillId="38" borderId="9" xfId="0" applyFont="1" applyFill="1" applyBorder="1" applyAlignment="1">
      <alignment vertical="center" wrapText="1"/>
    </xf>
    <xf numFmtId="0" fontId="3" fillId="38" borderId="9" xfId="0" applyFont="1" applyFill="1" applyBorder="1" applyAlignment="1">
      <alignment horizontal="center" vertical="center"/>
    </xf>
    <xf numFmtId="0" fontId="47" fillId="0" borderId="21" xfId="0" applyFont="1" applyBorder="1" applyAlignment="1">
      <alignment wrapText="1"/>
    </xf>
    <xf numFmtId="0" fontId="48" fillId="35" borderId="15" xfId="0" applyFont="1" applyFill="1" applyBorder="1" applyAlignment="1">
      <alignment wrapText="1"/>
    </xf>
    <xf numFmtId="0" fontId="21" fillId="9" borderId="29" xfId="0" applyFont="1" applyFill="1" applyBorder="1" applyAlignment="1">
      <alignment horizontal="left" vertical="center" wrapText="1"/>
    </xf>
    <xf numFmtId="0" fontId="34" fillId="0" borderId="26" xfId="0" applyFont="1" applyBorder="1" applyAlignment="1">
      <alignment vertical="center" wrapText="1"/>
    </xf>
    <xf numFmtId="0" fontId="47" fillId="9" borderId="12" xfId="0" applyFont="1" applyFill="1" applyBorder="1" applyAlignment="1">
      <alignment wrapText="1"/>
    </xf>
    <xf numFmtId="0" fontId="21" fillId="52" borderId="30" xfId="0" applyFont="1" applyFill="1" applyBorder="1" applyAlignment="1">
      <alignment wrapText="1"/>
    </xf>
    <xf numFmtId="0" fontId="77" fillId="9" borderId="10" xfId="0" applyFont="1" applyFill="1" applyBorder="1" applyAlignment="1">
      <alignment wrapText="1"/>
    </xf>
    <xf numFmtId="0" fontId="4" fillId="17" borderId="9" xfId="0" applyFont="1" applyFill="1" applyBorder="1"/>
    <xf numFmtId="0" fontId="4" fillId="17" borderId="12" xfId="0" applyFont="1" applyFill="1" applyBorder="1" applyAlignment="1">
      <alignment wrapText="1"/>
    </xf>
    <xf numFmtId="0" fontId="76" fillId="30" borderId="30" xfId="0" applyFont="1" applyFill="1" applyBorder="1" applyAlignment="1">
      <alignment vertical="top" wrapText="1"/>
    </xf>
    <xf numFmtId="0" fontId="4" fillId="17" borderId="18" xfId="0" applyFont="1" applyFill="1" applyBorder="1"/>
    <xf numFmtId="0" fontId="3" fillId="6" borderId="14" xfId="0" applyFont="1" applyFill="1" applyBorder="1" applyAlignment="1">
      <alignment vertical="center" wrapText="1"/>
    </xf>
    <xf numFmtId="0" fontId="36" fillId="36" borderId="15" xfId="0" applyFont="1" applyFill="1" applyBorder="1" applyAlignment="1">
      <alignment vertical="center" wrapText="1"/>
    </xf>
    <xf numFmtId="2" fontId="140" fillId="38" borderId="1" xfId="0" applyNumberFormat="1" applyFont="1" applyFill="1" applyBorder="1" applyAlignment="1">
      <alignment horizontal="center" vertical="center" wrapText="1"/>
    </xf>
    <xf numFmtId="2" fontId="142" fillId="17" borderId="1" xfId="0" applyNumberFormat="1" applyFont="1" applyFill="1" applyBorder="1" applyAlignment="1">
      <alignment horizontal="left" wrapText="1"/>
    </xf>
    <xf numFmtId="2" fontId="142" fillId="17" borderId="2" xfId="0" applyNumberFormat="1" applyFont="1" applyFill="1" applyBorder="1" applyAlignment="1">
      <alignment horizontal="left" wrapText="1"/>
    </xf>
    <xf numFmtId="0" fontId="76" fillId="6" borderId="19" xfId="0" applyFont="1" applyFill="1" applyBorder="1" applyAlignment="1">
      <alignment vertical="top" wrapText="1"/>
    </xf>
    <xf numFmtId="0" fontId="60" fillId="38" borderId="9" xfId="0" applyFont="1" applyFill="1" applyBorder="1" applyAlignment="1">
      <alignment vertical="center" wrapText="1"/>
    </xf>
    <xf numFmtId="0" fontId="24" fillId="20" borderId="4" xfId="0" applyFont="1" applyFill="1" applyBorder="1" applyAlignment="1">
      <alignment wrapText="1"/>
    </xf>
    <xf numFmtId="0" fontId="39" fillId="9" borderId="10" xfId="0" applyFont="1" applyFill="1" applyBorder="1" applyAlignment="1">
      <alignment wrapText="1"/>
    </xf>
    <xf numFmtId="0" fontId="47" fillId="9" borderId="10" xfId="0" applyFont="1" applyFill="1" applyBorder="1" applyAlignment="1">
      <alignment wrapText="1"/>
    </xf>
    <xf numFmtId="0" fontId="76" fillId="9" borderId="0" xfId="0" applyFont="1" applyFill="1" applyAlignment="1">
      <alignment vertical="top" wrapText="1"/>
    </xf>
    <xf numFmtId="0" fontId="128" fillId="9" borderId="0" xfId="0" applyFont="1" applyFill="1" applyAlignment="1">
      <alignment vertical="top" wrapText="1"/>
    </xf>
    <xf numFmtId="0" fontId="127" fillId="0" borderId="10" xfId="0" applyFont="1" applyBorder="1"/>
    <xf numFmtId="0" fontId="48" fillId="9" borderId="18" xfId="0" applyFont="1" applyFill="1" applyBorder="1" applyAlignment="1">
      <alignment wrapText="1"/>
    </xf>
    <xf numFmtId="0" fontId="47" fillId="9" borderId="28" xfId="0" applyFont="1" applyFill="1" applyBorder="1" applyAlignment="1">
      <alignment wrapText="1"/>
    </xf>
    <xf numFmtId="0" fontId="83" fillId="9" borderId="9" xfId="0" applyFont="1" applyFill="1" applyBorder="1"/>
    <xf numFmtId="0" fontId="48" fillId="9" borderId="0" xfId="0" applyFont="1" applyFill="1" applyAlignment="1">
      <alignment wrapText="1"/>
    </xf>
    <xf numFmtId="0" fontId="47" fillId="9" borderId="0" xfId="0" applyFont="1" applyFill="1" applyAlignment="1">
      <alignment wrapText="1"/>
    </xf>
    <xf numFmtId="0" fontId="83" fillId="9" borderId="0" xfId="0" applyFont="1" applyFill="1"/>
    <xf numFmtId="0" fontId="48" fillId="9" borderId="8" xfId="0" applyFont="1" applyFill="1" applyBorder="1" applyAlignment="1">
      <alignment wrapText="1"/>
    </xf>
    <xf numFmtId="0" fontId="83" fillId="9" borderId="12" xfId="0" applyFont="1" applyFill="1" applyBorder="1"/>
    <xf numFmtId="0" fontId="76" fillId="0" borderId="0" xfId="0" applyFont="1" applyAlignment="1">
      <alignment vertical="top" wrapText="1"/>
    </xf>
    <xf numFmtId="0" fontId="143" fillId="0" borderId="9" xfId="0" applyFont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45" fillId="38" borderId="9" xfId="0" applyFont="1" applyFill="1" applyBorder="1" applyAlignment="1">
      <alignment vertical="top" wrapText="1"/>
    </xf>
    <xf numFmtId="0" fontId="47" fillId="9" borderId="14" xfId="0" applyFont="1" applyFill="1" applyBorder="1" applyAlignment="1">
      <alignment wrapText="1"/>
    </xf>
    <xf numFmtId="0" fontId="14" fillId="38" borderId="9" xfId="0" applyFont="1" applyFill="1" applyBorder="1"/>
    <xf numFmtId="0" fontId="48" fillId="0" borderId="10" xfId="0" applyFont="1" applyBorder="1" applyAlignment="1">
      <alignment vertical="top" wrapText="1"/>
    </xf>
    <xf numFmtId="0" fontId="4" fillId="9" borderId="11" xfId="0" applyFont="1" applyFill="1" applyBorder="1"/>
    <xf numFmtId="0" fontId="148" fillId="0" borderId="9" xfId="0" applyFont="1" applyBorder="1" applyAlignment="1">
      <alignment wrapText="1"/>
    </xf>
    <xf numFmtId="0" fontId="48" fillId="9" borderId="21" xfId="0" applyFont="1" applyFill="1" applyBorder="1" applyAlignment="1">
      <alignment wrapText="1"/>
    </xf>
    <xf numFmtId="0" fontId="4" fillId="17" borderId="10" xfId="0" applyFont="1" applyFill="1" applyBorder="1"/>
    <xf numFmtId="0" fontId="24" fillId="20" borderId="9" xfId="0" applyFont="1" applyFill="1" applyBorder="1" applyAlignment="1">
      <alignment wrapText="1"/>
    </xf>
    <xf numFmtId="0" fontId="4" fillId="6" borderId="15" xfId="0" applyFont="1" applyFill="1" applyBorder="1"/>
    <xf numFmtId="0" fontId="48" fillId="30" borderId="9" xfId="0" applyFont="1" applyFill="1" applyBorder="1" applyAlignment="1">
      <alignment vertical="top" wrapText="1"/>
    </xf>
    <xf numFmtId="0" fontId="4" fillId="9" borderId="22" xfId="0" applyFont="1" applyFill="1" applyBorder="1"/>
    <xf numFmtId="0" fontId="59" fillId="38" borderId="9" xfId="0" applyFont="1" applyFill="1" applyBorder="1" applyAlignment="1">
      <alignment vertical="center"/>
    </xf>
    <xf numFmtId="0" fontId="4" fillId="30" borderId="9" xfId="0" applyFont="1" applyFill="1" applyBorder="1" applyAlignment="1">
      <alignment vertical="center"/>
    </xf>
    <xf numFmtId="0" fontId="4" fillId="10" borderId="18" xfId="0" applyFont="1" applyFill="1" applyBorder="1"/>
    <xf numFmtId="0" fontId="4" fillId="10" borderId="9" xfId="0" applyFont="1" applyFill="1" applyBorder="1"/>
    <xf numFmtId="0" fontId="4" fillId="10" borderId="12" xfId="0" applyFont="1" applyFill="1" applyBorder="1"/>
    <xf numFmtId="0" fontId="4" fillId="10" borderId="15" xfId="0" applyFont="1" applyFill="1" applyBorder="1"/>
    <xf numFmtId="0" fontId="4" fillId="10" borderId="10" xfId="0" applyFont="1" applyFill="1" applyBorder="1"/>
    <xf numFmtId="0" fontId="139" fillId="0" borderId="9" xfId="0" applyFont="1" applyBorder="1" applyAlignment="1">
      <alignment wrapText="1"/>
    </xf>
    <xf numFmtId="0" fontId="47" fillId="0" borderId="16" xfId="0" applyFont="1" applyBorder="1" applyAlignment="1">
      <alignment wrapText="1"/>
    </xf>
    <xf numFmtId="0" fontId="145" fillId="0" borderId="24" xfId="0" applyFont="1" applyBorder="1" applyAlignment="1">
      <alignment wrapText="1"/>
    </xf>
    <xf numFmtId="0" fontId="76" fillId="30" borderId="10" xfId="0" applyFont="1" applyFill="1" applyBorder="1" applyAlignment="1">
      <alignment vertical="top" wrapText="1"/>
    </xf>
    <xf numFmtId="0" fontId="47" fillId="42" borderId="9" xfId="0" applyFont="1" applyFill="1" applyBorder="1" applyAlignment="1">
      <alignment wrapText="1"/>
    </xf>
    <xf numFmtId="0" fontId="150" fillId="15" borderId="9" xfId="0" applyFont="1" applyFill="1" applyBorder="1" applyAlignment="1">
      <alignment vertical="top" wrapText="1"/>
    </xf>
    <xf numFmtId="0" fontId="21" fillId="0" borderId="9" xfId="0" applyFont="1" applyBorder="1" applyAlignment="1">
      <alignment vertical="top" wrapText="1"/>
    </xf>
    <xf numFmtId="0" fontId="22" fillId="0" borderId="9" xfId="0" applyFont="1" applyBorder="1" applyAlignment="1">
      <alignment vertical="top" wrapText="1"/>
    </xf>
    <xf numFmtId="0" fontId="14" fillId="38" borderId="9" xfId="0" applyFont="1" applyFill="1" applyBorder="1" applyAlignment="1">
      <alignment vertical="top" wrapText="1"/>
    </xf>
    <xf numFmtId="0" fontId="12" fillId="9" borderId="10" xfId="0" applyFont="1" applyFill="1" applyBorder="1" applyAlignment="1">
      <alignment vertical="center" wrapText="1"/>
    </xf>
    <xf numFmtId="2" fontId="152" fillId="38" borderId="1" xfId="0" applyNumberFormat="1" applyFont="1" applyFill="1" applyBorder="1" applyAlignment="1">
      <alignment horizontal="center" vertical="center" wrapText="1"/>
    </xf>
    <xf numFmtId="0" fontId="3" fillId="38" borderId="12" xfId="0" applyFont="1" applyFill="1" applyBorder="1" applyAlignment="1">
      <alignment horizontal="center" vertical="center" wrapText="1"/>
    </xf>
    <xf numFmtId="0" fontId="153" fillId="38" borderId="9" xfId="0" applyFont="1" applyFill="1" applyBorder="1" applyAlignment="1">
      <alignment horizontal="center" vertical="center" wrapText="1"/>
    </xf>
    <xf numFmtId="0" fontId="154" fillId="0" borderId="9" xfId="0" applyFont="1" applyBorder="1" applyAlignment="1">
      <alignment wrapText="1"/>
    </xf>
    <xf numFmtId="0" fontId="3" fillId="17" borderId="19" xfId="0" applyFont="1" applyFill="1" applyBorder="1" applyAlignment="1">
      <alignment vertical="center" wrapText="1"/>
    </xf>
    <xf numFmtId="0" fontId="60" fillId="3" borderId="15" xfId="0" applyFont="1" applyFill="1" applyBorder="1" applyAlignment="1">
      <alignment vertical="center" wrapText="1"/>
    </xf>
    <xf numFmtId="0" fontId="9" fillId="38" borderId="9" xfId="0" applyFont="1" applyFill="1" applyBorder="1" applyAlignment="1">
      <alignment vertical="center" wrapText="1"/>
    </xf>
    <xf numFmtId="0" fontId="59" fillId="0" borderId="12" xfId="0" applyFont="1" applyBorder="1" applyAlignment="1">
      <alignment vertical="center"/>
    </xf>
    <xf numFmtId="0" fontId="59" fillId="38" borderId="15" xfId="0" applyFont="1" applyFill="1" applyBorder="1" applyAlignment="1">
      <alignment vertical="center"/>
    </xf>
    <xf numFmtId="0" fontId="4" fillId="30" borderId="9" xfId="0" applyFont="1" applyFill="1" applyBorder="1" applyAlignment="1">
      <alignment vertical="center" wrapText="1"/>
    </xf>
    <xf numFmtId="0" fontId="47" fillId="0" borderId="2" xfId="0" applyFont="1" applyBorder="1" applyAlignment="1">
      <alignment vertical="center" wrapText="1"/>
    </xf>
    <xf numFmtId="0" fontId="3" fillId="36" borderId="15" xfId="0" applyFont="1" applyFill="1" applyBorder="1" applyAlignment="1">
      <alignment vertical="top"/>
    </xf>
    <xf numFmtId="0" fontId="127" fillId="0" borderId="0" xfId="0" applyFont="1" applyAlignment="1">
      <alignment wrapText="1"/>
    </xf>
    <xf numFmtId="0" fontId="154" fillId="38" borderId="9" xfId="0" applyFont="1" applyFill="1" applyBorder="1" applyAlignment="1">
      <alignment vertical="center" wrapText="1"/>
    </xf>
    <xf numFmtId="0" fontId="22" fillId="9" borderId="12" xfId="0" applyFont="1" applyFill="1" applyBorder="1" applyAlignment="1">
      <alignment wrapText="1"/>
    </xf>
    <xf numFmtId="0" fontId="3" fillId="0" borderId="19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</cellXfs>
  <cellStyles count="4">
    <cellStyle name="Normal" xfId="0" builtinId="0"/>
    <cellStyle name="Normal 2" xfId="1" xr:uid="{EE2DC4AA-52C8-4022-90B3-D019DB115C71}"/>
    <cellStyle name="Normal 2 2" xfId="3" xr:uid="{1A6451FD-0DAA-C14A-9615-4816EB7EFE0C}"/>
    <cellStyle name="Normal 3" xfId="2" xr:uid="{2944D151-8168-4155-A7C2-6E6C797ED87C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CDAF8"/>
      <color rgb="FFFBFFE0"/>
      <color rgb="FFFF66FF"/>
      <color rgb="FFE5E4F7"/>
      <color rgb="FFEFFBB7"/>
      <color rgb="FF7BF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Fisher" id="{78F6E33C-4B45-C04C-9AB3-8DCE9BF21157}" userId="S::steve.fisher@oracle.com::10572a4b-0559-474c-9372-3d0bb3c1ecfa" providerId="AD"/>
  <person displayName="Ruchika Bhatnagar" id="{05C82702-A24B-E249-965A-AB56692F1C47}" userId="S::ruchika.bhatnagar@oracle.com::7f80ddc6-6861-478e-984c-a85103254f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1-03T18:06:09.21" personId="{05C82702-A24B-E249-965A-AB56692F1C47}" id="{03CC8EBD-5E26-F648-ABC0-2ECBDD5C2A00}">
    <text>IDC Holiday</text>
  </threadedComment>
  <threadedComment ref="E1" dT="2025-11-03T20:30:12.04" personId="{05C82702-A24B-E249-965A-AB56692F1C47}" id="{77E5F671-2498-534F-BB5E-6F784A8903CC}">
    <text>IDC Holiday</text>
  </threadedComment>
  <threadedComment ref="Q1" dT="2025-11-03T18:02:10.75" personId="{05C82702-A24B-E249-965A-AB56692F1C47}" id="{A021C8CD-8877-CE45-8097-724B89670FCE}">
    <text>IDC Holiday</text>
  </threadedComment>
  <threadedComment ref="R1" dT="2025-11-03T18:02:05.25" personId="{05C82702-A24B-E249-965A-AB56692F1C47}" id="{B4427DF7-CF7A-6A44-861A-4D10028D0D57}">
    <text>IDC Holiday</text>
  </threadedComment>
  <threadedComment ref="AC1" dT="2025-11-03T18:07:15.39" personId="{05C82702-A24B-E249-965A-AB56692F1C47}" id="{F035BAE0-6FB8-4740-8E6E-EC634A75DEA2}">
    <text>Delhi Holiday</text>
  </threadedComment>
  <threadedComment ref="AG1" dT="2025-11-03T18:07:54.16" personId="{05C82702-A24B-E249-965A-AB56692F1C47}" id="{50561F9C-CB64-F04E-B2EF-834ECE284F02}">
    <text>US Holiday</text>
  </threadedComment>
  <threadedComment ref="AS1" dT="2025-11-03T18:07:39.50" personId="{05C82702-A24B-E249-965A-AB56692F1C47}" id="{9DB7C8A7-92C8-7B4C-A722-1BCD0A334F3F}">
    <text>US Holiday</text>
  </threadedComment>
  <threadedComment ref="AT1" dT="2025-11-03T18:07:44.93" personId="{05C82702-A24B-E249-965A-AB56692F1C47}" id="{C8454E98-654C-7649-BCDC-D25E112BA743}">
    <text>US Holiday</text>
  </threadedComment>
  <threadedComment ref="BM1" dT="2025-11-03T18:08:33.06" personId="{05C82702-A24B-E249-965A-AB56692F1C47}" id="{01BE6139-D397-1D4F-B1C3-8BE87B56B257}">
    <text>US Holiday</text>
  </threadedComment>
  <threadedComment ref="BN1" dT="2025-11-03T18:08:48.52" personId="{05C82702-A24B-E249-965A-AB56692F1C47}" id="{49EE2287-378E-D54B-B1A3-C54507B24866}">
    <text>US Winter Break</text>
  </threadedComment>
  <threadedComment ref="BO1" dT="2025-11-03T18:09:03.00" personId="{05C82702-A24B-E249-965A-AB56692F1C47}" id="{E8133E58-8CE3-9347-B794-F5D15030F059}">
    <text>US Holiday</text>
  </threadedComment>
  <threadedComment ref="BP1" dT="2025-11-03T18:09:12.46" personId="{05C82702-A24B-E249-965A-AB56692F1C47}" id="{D25AE1C0-BAC1-9742-B41D-B7F4DD95907B}">
    <text>US Holiday</text>
  </threadedComment>
  <threadedComment ref="BQ1" dT="2025-11-03T18:09:17.89" personId="{05C82702-A24B-E249-965A-AB56692F1C47}" id="{F60B393C-0280-6D40-8370-D32DABE386F1}">
    <text>US Holiday</text>
  </threadedComment>
  <threadedComment ref="BR1" dT="2025-11-03T18:09:27.67" personId="{05C82702-A24B-E249-965A-AB56692F1C47}" id="{9C62C626-204B-0B4C-BD48-90F1732A88D0}">
    <text>US Holiday</text>
  </threadedComment>
  <threadedComment ref="CD1" dT="2025-11-03T18:09:39.64" personId="{05C82702-A24B-E249-965A-AB56692F1C47}" id="{968007A5-12EB-A34C-9217-0E120B51B6EA}">
    <text>US Holiday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1-03T18:06:09.21" personId="{05C82702-A24B-E249-965A-AB56692F1C47}" id="{CF4C75A5-CCBE-834D-A18B-E14B578E1C0C}">
    <text>IDC Holiday</text>
  </threadedComment>
  <threadedComment ref="Q1" dT="2025-11-03T18:02:10.75" personId="{05C82702-A24B-E249-965A-AB56692F1C47}" id="{730AF2FA-09F0-1949-8FFA-0C041EB9CE29}">
    <text>IDC Holiday</text>
  </threadedComment>
  <threadedComment ref="R1" dT="2025-11-03T18:02:05.25" personId="{05C82702-A24B-E249-965A-AB56692F1C47}" id="{5E3185E5-EC83-7948-ABB6-A055949D398B}">
    <text>IDC Holiday</text>
  </threadedComment>
  <threadedComment ref="AC1" dT="2025-11-03T18:07:15.39" personId="{05C82702-A24B-E249-965A-AB56692F1C47}" id="{DCE726CF-82AB-9D42-997E-04EA6FC4AE2F}">
    <text>Delhi Holiday</text>
  </threadedComment>
  <threadedComment ref="AG1" dT="2025-11-03T18:07:54.16" personId="{05C82702-A24B-E249-965A-AB56692F1C47}" id="{8C1B2F66-A2FD-9748-A43A-D4B6538AD8A3}">
    <text>US Holiday</text>
  </threadedComment>
  <threadedComment ref="AS1" dT="2025-11-03T18:07:39.50" personId="{05C82702-A24B-E249-965A-AB56692F1C47}" id="{8C5BB442-3C86-464C-8825-1E0296EB0086}">
    <text>US Holiday</text>
  </threadedComment>
  <threadedComment ref="AT1" dT="2025-11-03T18:07:44.93" personId="{05C82702-A24B-E249-965A-AB56692F1C47}" id="{A0F48F42-DC9C-7942-B70F-E8CC7CCDBA43}">
    <text>US Holiday</text>
  </threadedComment>
  <threadedComment ref="BM1" dT="2025-11-03T18:08:33.06" personId="{05C82702-A24B-E249-965A-AB56692F1C47}" id="{779FF553-033F-674C-95ED-322139D06A27}">
    <text>US Holiday</text>
  </threadedComment>
  <threadedComment ref="BN1" dT="2025-11-03T18:08:48.52" personId="{05C82702-A24B-E249-965A-AB56692F1C47}" id="{A47BBD90-26EE-A64D-931C-E86D6E7140C1}">
    <text>US Winter Break</text>
  </threadedComment>
  <threadedComment ref="BO1" dT="2025-11-03T18:09:03.00" personId="{05C82702-A24B-E249-965A-AB56692F1C47}" id="{29793490-753B-1745-A83D-4594BFE7BA90}">
    <text>US Holiday</text>
  </threadedComment>
  <threadedComment ref="BP1" dT="2025-11-03T18:09:12.46" personId="{05C82702-A24B-E249-965A-AB56692F1C47}" id="{2FC6FE43-76F4-6F49-A472-3B91A8970758}">
    <text>US Holiday</text>
  </threadedComment>
  <threadedComment ref="BQ1" dT="2025-11-03T18:09:17.89" personId="{05C82702-A24B-E249-965A-AB56692F1C47}" id="{A150B99D-B9F9-1449-8A6E-882357FF1111}">
    <text>US Holiday</text>
  </threadedComment>
  <threadedComment ref="BR1" dT="2025-11-03T18:09:27.67" personId="{05C82702-A24B-E249-965A-AB56692F1C47}" id="{33F70623-7D3B-E849-81AB-A484FFA729B6}">
    <text>US Holiday</text>
  </threadedComment>
  <threadedComment ref="CD1" dT="2025-11-03T18:09:39.64" personId="{05C82702-A24B-E249-965A-AB56692F1C47}" id="{ABD9A717-6FA5-8C4F-9F1D-46FF86C5CC15}">
    <text>US Holiday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5" dT="2025-11-03T14:52:22.52" personId="{78F6E33C-4B45-C04C-9AB3-8DCE9BF21157}" id="{910BC74C-C0E4-554D-9380-B433A1F4CB94}">
    <text>No Responsys NFs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Z1" dT="2025-11-03T18:07:15.39" personId="{05C82702-A24B-E249-965A-AB56692F1C47}" id="{1E02C8A0-6429-48EE-B382-E893136DFA5C}">
    <text>Delhi Holiday</text>
  </threadedComment>
  <threadedComment ref="AD1" dT="2025-11-03T18:07:54.16" personId="{05C82702-A24B-E249-965A-AB56692F1C47}" id="{166E7C8E-D054-4DAF-B376-9210C573AD12}">
    <text>US Holiday</text>
  </threadedComment>
  <threadedComment ref="AP1" dT="2025-11-03T18:07:39.50" personId="{05C82702-A24B-E249-965A-AB56692F1C47}" id="{C83256C2-08A3-4E24-AA49-F81C47D883F0}">
    <text>US Holiday</text>
  </threadedComment>
  <threadedComment ref="AQ1" dT="2025-11-03T18:07:44.93" personId="{05C82702-A24B-E249-965A-AB56692F1C47}" id="{E3D5D81F-7AFC-4D62-91D5-2026A2CAD4A1}">
    <text>US Holiday</text>
  </threadedComment>
  <threadedComment ref="BJ1" dT="2025-11-03T18:08:33.06" personId="{05C82702-A24B-E249-965A-AB56692F1C47}" id="{219BFCD9-A15B-40ED-8973-4D3398343119}">
    <text>US Holiday</text>
  </threadedComment>
  <threadedComment ref="BK1" dT="2025-11-03T18:08:48.52" personId="{05C82702-A24B-E249-965A-AB56692F1C47}" id="{77BE4483-7952-4963-8A8B-55CFE976D15B}">
    <text>US Winter Break</text>
  </threadedComment>
  <threadedComment ref="BL1" dT="2025-11-03T18:09:03.00" personId="{05C82702-A24B-E249-965A-AB56692F1C47}" id="{EF63BA31-18DD-42D3-B2C7-4F878F391DCF}">
    <text>US Holiday</text>
  </threadedComment>
  <threadedComment ref="BM1" dT="2025-11-03T18:09:12.46" personId="{05C82702-A24B-E249-965A-AB56692F1C47}" id="{AA202582-4CE7-4E13-B770-CB487045A1F7}">
    <text>US Holiday</text>
  </threadedComment>
  <threadedComment ref="BN1" dT="2025-11-03T18:09:17.89" personId="{05C82702-A24B-E249-965A-AB56692F1C47}" id="{92523DEB-33F3-497F-A650-CDAEAEFD02D0}">
    <text>US Holiday</text>
  </threadedComment>
  <threadedComment ref="BO1" dT="2025-11-03T18:09:27.67" personId="{05C82702-A24B-E249-965A-AB56692F1C47}" id="{C2B0ABAA-ABAE-41E5-8433-E2316142386C}">
    <text>US Holiday</text>
  </threadedComment>
  <threadedComment ref="CA1" dT="2025-11-03T18:09:39.64" personId="{05C82702-A24B-E249-965A-AB56692F1C47}" id="{5EA79369-859A-4C5D-9D88-229FDA445016}">
    <text>US Holiday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F95B-D9AB-4E89-8686-4E3840EC7CDE}">
  <sheetPr filterMode="1"/>
  <dimension ref="A1:CN27"/>
  <sheetViews>
    <sheetView workbookViewId="0"/>
  </sheetViews>
  <sheetFormatPr defaultColWidth="8.625" defaultRowHeight="14.1"/>
  <cols>
    <col min="1" max="1" width="6.375" style="6" bestFit="1" customWidth="1"/>
    <col min="2" max="2" width="3.375" style="6" bestFit="1" customWidth="1"/>
    <col min="3" max="3" width="10.125" style="6" bestFit="1" customWidth="1"/>
    <col min="4" max="8" width="10.625" style="6" bestFit="1" customWidth="1"/>
    <col min="9" max="9" width="7" style="6" bestFit="1" customWidth="1"/>
    <col min="10" max="31" width="7.5" style="6" bestFit="1" customWidth="1"/>
    <col min="32" max="36" width="6.875" style="6" bestFit="1" customWidth="1"/>
    <col min="37" max="38" width="7" style="6" bestFit="1" customWidth="1"/>
    <col min="39" max="40" width="6.875" style="6" bestFit="1" customWidth="1"/>
    <col min="41" max="61" width="7.625" style="6" bestFit="1" customWidth="1"/>
    <col min="62" max="64" width="6.5" style="6" bestFit="1" customWidth="1"/>
    <col min="65" max="66" width="7" style="6" bestFit="1" customWidth="1"/>
    <col min="67" max="70" width="6.5" style="6" bestFit="1" customWidth="1"/>
    <col min="71" max="92" width="7.375" style="6" bestFit="1" customWidth="1"/>
    <col min="93" max="16384" width="8.625" style="6"/>
  </cols>
  <sheetData>
    <row r="1" spans="1:92">
      <c r="A1" s="4" t="s">
        <v>0</v>
      </c>
      <c r="B1" s="4"/>
      <c r="C1" s="4" t="s">
        <v>1</v>
      </c>
      <c r="D1" s="5">
        <v>45873</v>
      </c>
      <c r="E1" s="5">
        <v>45874</v>
      </c>
      <c r="F1" s="5">
        <v>45875</v>
      </c>
      <c r="G1" s="5">
        <v>45876</v>
      </c>
      <c r="H1" s="5">
        <v>45877</v>
      </c>
      <c r="I1" s="5">
        <v>45878</v>
      </c>
      <c r="J1" s="5">
        <v>45879</v>
      </c>
      <c r="K1" s="5">
        <v>45880</v>
      </c>
      <c r="L1" s="5">
        <v>45881</v>
      </c>
      <c r="M1" s="5">
        <v>45882</v>
      </c>
      <c r="N1" s="5">
        <v>45883</v>
      </c>
      <c r="O1" s="5">
        <v>45884</v>
      </c>
      <c r="P1" s="5">
        <v>45885</v>
      </c>
      <c r="Q1" s="5">
        <v>45886</v>
      </c>
      <c r="R1" s="5">
        <v>45887</v>
      </c>
      <c r="S1" s="5">
        <v>45888</v>
      </c>
      <c r="T1" s="5">
        <v>45889</v>
      </c>
      <c r="U1" s="5">
        <v>45890</v>
      </c>
      <c r="V1" s="5">
        <v>45891</v>
      </c>
      <c r="W1" s="5">
        <v>45892</v>
      </c>
      <c r="X1" s="5">
        <v>45893</v>
      </c>
      <c r="Y1" s="5">
        <v>45894</v>
      </c>
      <c r="Z1" s="5">
        <v>45895</v>
      </c>
      <c r="AA1" s="5">
        <v>45896</v>
      </c>
      <c r="AB1" s="5">
        <v>45897</v>
      </c>
      <c r="AC1" s="5">
        <v>45898</v>
      </c>
      <c r="AD1" s="5">
        <v>45899</v>
      </c>
      <c r="AE1" s="5">
        <v>45900</v>
      </c>
      <c r="AF1" s="5">
        <v>45901</v>
      </c>
      <c r="AG1" s="5">
        <v>45902</v>
      </c>
      <c r="AH1" s="5">
        <v>45903</v>
      </c>
      <c r="AI1" s="5">
        <v>45904</v>
      </c>
      <c r="AJ1" s="5">
        <v>45905</v>
      </c>
      <c r="AK1" s="5">
        <v>45906</v>
      </c>
      <c r="AL1" s="5">
        <v>45907</v>
      </c>
      <c r="AM1" s="5">
        <v>45908</v>
      </c>
      <c r="AN1" s="5">
        <v>45909</v>
      </c>
      <c r="AO1" s="5">
        <v>45910</v>
      </c>
      <c r="AP1" s="5">
        <v>45911</v>
      </c>
      <c r="AQ1" s="5">
        <v>45912</v>
      </c>
      <c r="AR1" s="5">
        <v>45913</v>
      </c>
      <c r="AS1" s="5">
        <v>45914</v>
      </c>
      <c r="AT1" s="5">
        <v>45915</v>
      </c>
      <c r="AU1" s="5">
        <v>45916</v>
      </c>
      <c r="AV1" s="5">
        <v>45917</v>
      </c>
      <c r="AW1" s="5">
        <v>45918</v>
      </c>
      <c r="AX1" s="5">
        <v>45919</v>
      </c>
      <c r="AY1" s="5">
        <v>45920</v>
      </c>
      <c r="AZ1" s="5">
        <v>45921</v>
      </c>
      <c r="BA1" s="5">
        <v>45922</v>
      </c>
      <c r="BB1" s="5">
        <v>45923</v>
      </c>
      <c r="BC1" s="5">
        <v>45924</v>
      </c>
      <c r="BD1" s="5">
        <v>45925</v>
      </c>
      <c r="BE1" s="5">
        <v>45926</v>
      </c>
      <c r="BF1" s="5">
        <v>45927</v>
      </c>
      <c r="BG1" s="5">
        <v>45928</v>
      </c>
      <c r="BH1" s="5">
        <v>45929</v>
      </c>
      <c r="BI1" s="5">
        <v>45930</v>
      </c>
      <c r="BJ1" s="5">
        <v>45931</v>
      </c>
      <c r="BK1" s="5">
        <v>45932</v>
      </c>
      <c r="BL1" s="5">
        <v>45933</v>
      </c>
      <c r="BM1" s="5">
        <v>45934</v>
      </c>
      <c r="BN1" s="5">
        <v>45935</v>
      </c>
      <c r="BO1" s="5">
        <v>45936</v>
      </c>
      <c r="BP1" s="5">
        <v>45937</v>
      </c>
      <c r="BQ1" s="5">
        <v>45938</v>
      </c>
      <c r="BR1" s="5">
        <v>45939</v>
      </c>
      <c r="BS1" s="5">
        <v>45940</v>
      </c>
      <c r="BT1" s="5">
        <v>45941</v>
      </c>
      <c r="BU1" s="5">
        <v>45942</v>
      </c>
      <c r="BV1" s="5">
        <v>45943</v>
      </c>
      <c r="BW1" s="5">
        <v>45944</v>
      </c>
      <c r="BX1" s="5">
        <v>45945</v>
      </c>
      <c r="BY1" s="5">
        <v>45946</v>
      </c>
      <c r="BZ1" s="5">
        <v>45947</v>
      </c>
      <c r="CA1" s="5">
        <v>45948</v>
      </c>
      <c r="CB1" s="5">
        <v>45949</v>
      </c>
      <c r="CC1" s="5">
        <v>45950</v>
      </c>
      <c r="CD1" s="5">
        <v>45951</v>
      </c>
      <c r="CE1" s="5">
        <v>45952</v>
      </c>
      <c r="CF1" s="5">
        <v>45953</v>
      </c>
      <c r="CG1" s="5">
        <v>45954</v>
      </c>
      <c r="CH1" s="5">
        <v>45955</v>
      </c>
      <c r="CI1" s="5">
        <v>45956</v>
      </c>
      <c r="CJ1" s="5">
        <v>45957</v>
      </c>
      <c r="CK1" s="5">
        <v>45958</v>
      </c>
      <c r="CL1" s="5">
        <v>45959</v>
      </c>
      <c r="CM1" s="5">
        <v>45960</v>
      </c>
      <c r="CN1" s="5">
        <v>45961</v>
      </c>
    </row>
    <row r="2" spans="1:92" hidden="1">
      <c r="A2" s="7" t="s">
        <v>2</v>
      </c>
      <c r="B2" s="7" t="s">
        <v>3</v>
      </c>
      <c r="C2" s="7" t="s">
        <v>4</v>
      </c>
      <c r="D2" s="7"/>
      <c r="E2" s="7"/>
      <c r="F2" s="7"/>
      <c r="G2" s="7"/>
      <c r="H2" s="7"/>
      <c r="I2" s="7" t="s">
        <v>5</v>
      </c>
      <c r="J2" s="7" t="s">
        <v>5</v>
      </c>
      <c r="K2" s="7"/>
      <c r="L2" s="7"/>
      <c r="M2" s="7"/>
      <c r="N2" s="7"/>
      <c r="O2" s="7"/>
      <c r="P2" s="7" t="s">
        <v>5</v>
      </c>
      <c r="Q2" s="7" t="s">
        <v>5</v>
      </c>
      <c r="R2" s="7"/>
      <c r="S2" s="7"/>
      <c r="T2" s="7"/>
      <c r="U2" s="7"/>
      <c r="V2" s="7"/>
      <c r="W2" s="7" t="s">
        <v>5</v>
      </c>
      <c r="X2" s="7" t="s">
        <v>5</v>
      </c>
      <c r="Y2" s="7"/>
      <c r="Z2" s="7"/>
      <c r="AA2" s="7"/>
      <c r="AB2" s="7"/>
      <c r="AC2" s="7"/>
      <c r="AD2" s="7" t="s">
        <v>5</v>
      </c>
      <c r="AE2" s="7" t="s">
        <v>5</v>
      </c>
      <c r="AF2" s="7"/>
      <c r="AG2" s="7"/>
      <c r="AH2" s="7"/>
      <c r="AI2" s="7"/>
      <c r="AJ2" s="7"/>
      <c r="AK2" s="7" t="s">
        <v>5</v>
      </c>
      <c r="AL2" s="7" t="s">
        <v>5</v>
      </c>
      <c r="AM2" s="7"/>
      <c r="AN2" s="7"/>
      <c r="AO2" s="7"/>
      <c r="AP2" s="7"/>
      <c r="AQ2" s="7"/>
      <c r="AR2" s="7" t="s">
        <v>5</v>
      </c>
      <c r="AS2" s="7" t="s">
        <v>5</v>
      </c>
      <c r="AT2" s="7"/>
      <c r="AU2" s="7"/>
      <c r="AV2" s="7"/>
      <c r="AW2" s="7"/>
      <c r="AX2" s="7"/>
      <c r="AY2" s="7" t="s">
        <v>5</v>
      </c>
      <c r="AZ2" s="7" t="s">
        <v>5</v>
      </c>
      <c r="BA2" s="7"/>
      <c r="BB2" s="7"/>
      <c r="BC2" s="7"/>
      <c r="BD2" s="7"/>
      <c r="BE2" s="7"/>
      <c r="BF2" s="7" t="s">
        <v>5</v>
      </c>
      <c r="BG2" s="7" t="s">
        <v>5</v>
      </c>
      <c r="BH2" s="7"/>
      <c r="BI2" s="7"/>
      <c r="BJ2" s="7"/>
      <c r="BK2" s="7"/>
      <c r="BL2" s="7"/>
      <c r="BM2" s="7" t="s">
        <v>5</v>
      </c>
      <c r="BN2" s="7" t="s">
        <v>5</v>
      </c>
      <c r="BO2" s="7"/>
      <c r="BP2" s="7"/>
      <c r="BQ2" s="7"/>
      <c r="BR2" s="7"/>
      <c r="BS2" s="7"/>
      <c r="BT2" s="7" t="s">
        <v>5</v>
      </c>
      <c r="BU2" s="7" t="s">
        <v>5</v>
      </c>
      <c r="BV2" s="7"/>
      <c r="BW2" s="7"/>
      <c r="BX2" s="7"/>
      <c r="BY2" s="7"/>
      <c r="BZ2" s="7"/>
      <c r="CA2" s="7" t="s">
        <v>5</v>
      </c>
      <c r="CB2" s="7" t="s">
        <v>5</v>
      </c>
      <c r="CC2" s="7"/>
      <c r="CD2" s="7"/>
      <c r="CE2" s="7"/>
      <c r="CF2" s="7"/>
      <c r="CG2" s="7"/>
      <c r="CH2" s="7" t="s">
        <v>5</v>
      </c>
      <c r="CI2" s="7" t="s">
        <v>5</v>
      </c>
      <c r="CJ2" s="7"/>
      <c r="CK2" s="7"/>
      <c r="CL2" s="7"/>
      <c r="CM2" s="7"/>
      <c r="CN2" s="7"/>
    </row>
    <row r="3" spans="1:92" hidden="1">
      <c r="A3" s="7" t="s">
        <v>2</v>
      </c>
      <c r="B3" s="7" t="s">
        <v>3</v>
      </c>
      <c r="C3" s="7" t="s">
        <v>6</v>
      </c>
      <c r="D3" s="7"/>
      <c r="E3" s="7"/>
      <c r="F3" s="7"/>
      <c r="G3" s="7"/>
      <c r="H3" s="7"/>
      <c r="I3" s="7" t="s">
        <v>5</v>
      </c>
      <c r="J3" s="7" t="s">
        <v>5</v>
      </c>
      <c r="K3" s="7"/>
      <c r="L3" s="7"/>
      <c r="M3" s="7"/>
      <c r="N3" s="7"/>
      <c r="O3" s="7"/>
      <c r="P3" s="7" t="s">
        <v>5</v>
      </c>
      <c r="Q3" s="7" t="s">
        <v>5</v>
      </c>
      <c r="R3" s="7"/>
      <c r="S3" s="7"/>
      <c r="T3" s="7"/>
      <c r="U3" s="7"/>
      <c r="V3" s="7"/>
      <c r="W3" s="7" t="s">
        <v>5</v>
      </c>
      <c r="X3" s="7" t="s">
        <v>5</v>
      </c>
      <c r="Y3" s="7"/>
      <c r="Z3" s="7"/>
      <c r="AA3" s="7"/>
      <c r="AB3" s="7"/>
      <c r="AC3" s="7"/>
      <c r="AD3" s="7" t="s">
        <v>5</v>
      </c>
      <c r="AE3" s="7" t="s">
        <v>5</v>
      </c>
      <c r="AF3" s="7"/>
      <c r="AG3" s="7"/>
      <c r="AH3" s="7"/>
      <c r="AI3" s="7"/>
      <c r="AJ3" s="7"/>
      <c r="AK3" s="7" t="s">
        <v>5</v>
      </c>
      <c r="AL3" s="7" t="s">
        <v>5</v>
      </c>
      <c r="AM3" s="7"/>
      <c r="AN3" s="7"/>
      <c r="AO3" s="7"/>
      <c r="AP3" s="7"/>
      <c r="AQ3" s="7"/>
      <c r="AR3" s="7" t="s">
        <v>5</v>
      </c>
      <c r="AS3" s="7" t="s">
        <v>5</v>
      </c>
      <c r="AT3" s="7"/>
      <c r="AU3" s="7"/>
      <c r="AV3" s="7"/>
      <c r="AW3" s="7"/>
      <c r="AX3" s="7"/>
      <c r="AY3" s="7" t="s">
        <v>5</v>
      </c>
      <c r="AZ3" s="7" t="s">
        <v>5</v>
      </c>
      <c r="BA3" s="7"/>
      <c r="BB3" s="7"/>
      <c r="BC3" s="7"/>
      <c r="BD3" s="7"/>
      <c r="BE3" s="7"/>
      <c r="BF3" s="7" t="s">
        <v>5</v>
      </c>
      <c r="BG3" s="7" t="s">
        <v>5</v>
      </c>
      <c r="BH3" s="7"/>
      <c r="BI3" s="7"/>
      <c r="BJ3" s="7"/>
      <c r="BK3" s="7"/>
      <c r="BL3" s="7"/>
      <c r="BM3" s="7" t="s">
        <v>5</v>
      </c>
      <c r="BN3" s="7" t="s">
        <v>5</v>
      </c>
      <c r="BO3" s="7"/>
      <c r="BP3" s="7"/>
      <c r="BQ3" s="7"/>
      <c r="BR3" s="7"/>
      <c r="BS3" s="7"/>
      <c r="BT3" s="7" t="s">
        <v>5</v>
      </c>
      <c r="BU3" s="7" t="s">
        <v>5</v>
      </c>
      <c r="BV3" s="7"/>
      <c r="BW3" s="7"/>
      <c r="BX3" s="7"/>
      <c r="BY3" s="7"/>
      <c r="BZ3" s="7"/>
      <c r="CA3" s="7" t="s">
        <v>5</v>
      </c>
      <c r="CB3" s="7" t="s">
        <v>5</v>
      </c>
      <c r="CC3" s="7"/>
      <c r="CD3" s="7"/>
      <c r="CE3" s="7"/>
      <c r="CF3" s="7"/>
      <c r="CG3" s="7"/>
      <c r="CH3" s="7" t="s">
        <v>5</v>
      </c>
      <c r="CI3" s="7" t="s">
        <v>5</v>
      </c>
      <c r="CJ3" s="7"/>
      <c r="CK3" s="7"/>
      <c r="CL3" s="7"/>
      <c r="CM3" s="7"/>
      <c r="CN3" s="7"/>
    </row>
    <row r="4" spans="1:92" hidden="1">
      <c r="A4" s="7" t="s">
        <v>2</v>
      </c>
      <c r="B4" s="7" t="s">
        <v>7</v>
      </c>
      <c r="C4" s="7" t="s">
        <v>8</v>
      </c>
      <c r="D4" s="7"/>
      <c r="E4" s="7"/>
      <c r="F4" s="7"/>
      <c r="G4" s="7"/>
      <c r="H4" s="7"/>
      <c r="I4" s="7" t="s">
        <v>5</v>
      </c>
      <c r="J4" s="7" t="s">
        <v>5</v>
      </c>
      <c r="K4" s="7"/>
      <c r="L4" s="7"/>
      <c r="M4" s="7"/>
      <c r="N4" s="7"/>
      <c r="O4" s="7"/>
      <c r="P4" s="7" t="s">
        <v>5</v>
      </c>
      <c r="Q4" s="7" t="s">
        <v>5</v>
      </c>
      <c r="R4" s="7"/>
      <c r="S4" s="7"/>
      <c r="T4" s="7"/>
      <c r="U4" s="7"/>
      <c r="V4" s="7"/>
      <c r="W4" s="7" t="s">
        <v>5</v>
      </c>
      <c r="X4" s="7" t="s">
        <v>5</v>
      </c>
      <c r="Y4" s="7"/>
      <c r="Z4" s="7"/>
      <c r="AA4" s="7"/>
      <c r="AB4" s="7"/>
      <c r="AC4" s="7"/>
      <c r="AD4" s="7" t="s">
        <v>5</v>
      </c>
      <c r="AE4" s="7" t="s">
        <v>5</v>
      </c>
      <c r="AF4" s="7"/>
      <c r="AG4" s="7"/>
      <c r="AH4" s="7"/>
      <c r="AI4" s="7"/>
      <c r="AJ4" s="7"/>
      <c r="AK4" s="7" t="s">
        <v>5</v>
      </c>
      <c r="AL4" s="7" t="s">
        <v>5</v>
      </c>
      <c r="AM4" s="7"/>
      <c r="AN4" s="7"/>
      <c r="AO4" s="7"/>
      <c r="AP4" s="7"/>
      <c r="AQ4" s="7"/>
      <c r="AR4" s="7" t="s">
        <v>5</v>
      </c>
      <c r="AS4" s="7" t="s">
        <v>5</v>
      </c>
      <c r="AT4" s="7"/>
      <c r="AU4" s="7"/>
      <c r="AV4" s="7"/>
      <c r="AW4" s="7"/>
      <c r="AX4" s="7"/>
      <c r="AY4" s="7" t="s">
        <v>5</v>
      </c>
      <c r="AZ4" s="7" t="s">
        <v>5</v>
      </c>
      <c r="BA4" s="7"/>
      <c r="BB4" s="7"/>
      <c r="BC4" s="7"/>
      <c r="BD4" s="7"/>
      <c r="BE4" s="7"/>
      <c r="BF4" s="7" t="s">
        <v>5</v>
      </c>
      <c r="BG4" s="7" t="s">
        <v>5</v>
      </c>
      <c r="BH4" s="7"/>
      <c r="BI4" s="7"/>
      <c r="BJ4" s="7"/>
      <c r="BK4" s="7"/>
      <c r="BL4" s="7"/>
      <c r="BM4" s="7" t="s">
        <v>5</v>
      </c>
      <c r="BN4" s="7" t="s">
        <v>5</v>
      </c>
      <c r="BO4" s="7"/>
      <c r="BP4" s="7"/>
      <c r="BQ4" s="7"/>
      <c r="BR4" s="7"/>
      <c r="BS4" s="7"/>
      <c r="BT4" s="7" t="s">
        <v>5</v>
      </c>
      <c r="BU4" s="7" t="s">
        <v>5</v>
      </c>
      <c r="BV4" s="7"/>
      <c r="BW4" s="7"/>
      <c r="BX4" s="7"/>
      <c r="BY4" s="7"/>
      <c r="BZ4" s="7"/>
      <c r="CA4" s="7" t="s">
        <v>5</v>
      </c>
      <c r="CB4" s="7" t="s">
        <v>5</v>
      </c>
      <c r="CC4" s="7"/>
      <c r="CD4" s="7"/>
      <c r="CE4" s="7"/>
      <c r="CF4" s="7"/>
      <c r="CG4" s="7"/>
      <c r="CH4" s="7" t="s">
        <v>5</v>
      </c>
      <c r="CI4" s="7" t="s">
        <v>5</v>
      </c>
      <c r="CJ4" s="7"/>
      <c r="CK4" s="7"/>
      <c r="CL4" s="7"/>
      <c r="CM4" s="7"/>
      <c r="CN4" s="7"/>
    </row>
    <row r="5" spans="1:92" hidden="1">
      <c r="A5" s="7" t="s">
        <v>2</v>
      </c>
      <c r="B5" s="7" t="s">
        <v>3</v>
      </c>
      <c r="C5" s="7" t="s">
        <v>9</v>
      </c>
      <c r="D5" s="7"/>
      <c r="E5" s="7"/>
      <c r="F5" s="7"/>
      <c r="G5" s="7"/>
      <c r="H5" s="7"/>
      <c r="I5" s="7" t="s">
        <v>5</v>
      </c>
      <c r="J5" s="7" t="s">
        <v>5</v>
      </c>
      <c r="K5" s="7"/>
      <c r="L5" s="7"/>
      <c r="M5" s="7"/>
      <c r="N5" s="7"/>
      <c r="O5" s="7"/>
      <c r="P5" s="7" t="s">
        <v>5</v>
      </c>
      <c r="Q5" s="7" t="s">
        <v>5</v>
      </c>
      <c r="R5" s="7"/>
      <c r="S5" s="7"/>
      <c r="T5" s="7"/>
      <c r="U5" s="7"/>
      <c r="V5" s="7"/>
      <c r="W5" s="7" t="s">
        <v>5</v>
      </c>
      <c r="X5" s="7" t="s">
        <v>5</v>
      </c>
      <c r="Y5" s="7"/>
      <c r="Z5" s="7"/>
      <c r="AA5" s="7"/>
      <c r="AB5" s="7"/>
      <c r="AC5" s="7"/>
      <c r="AD5" s="7" t="s">
        <v>5</v>
      </c>
      <c r="AE5" s="7" t="s">
        <v>5</v>
      </c>
      <c r="AF5" s="7"/>
      <c r="AG5" s="7"/>
      <c r="AH5" s="7"/>
      <c r="AI5" s="7"/>
      <c r="AJ5" s="7"/>
      <c r="AK5" s="7" t="s">
        <v>5</v>
      </c>
      <c r="AL5" s="7" t="s">
        <v>5</v>
      </c>
      <c r="AM5" s="7"/>
      <c r="AN5" s="7"/>
      <c r="AO5" s="7"/>
      <c r="AP5" s="7"/>
      <c r="AQ5" s="7"/>
      <c r="AR5" s="7" t="s">
        <v>5</v>
      </c>
      <c r="AS5" s="7" t="s">
        <v>5</v>
      </c>
      <c r="AT5" s="7"/>
      <c r="AU5" s="7"/>
      <c r="AV5" s="7"/>
      <c r="AW5" s="7"/>
      <c r="AX5" s="7"/>
      <c r="AY5" s="7" t="s">
        <v>5</v>
      </c>
      <c r="AZ5" s="7" t="s">
        <v>5</v>
      </c>
      <c r="BA5" s="7"/>
      <c r="BB5" s="7"/>
      <c r="BC5" s="7"/>
      <c r="BD5" s="7"/>
      <c r="BE5" s="7"/>
      <c r="BF5" s="7" t="s">
        <v>5</v>
      </c>
      <c r="BG5" s="7" t="s">
        <v>5</v>
      </c>
      <c r="BH5" s="7"/>
      <c r="BI5" s="7"/>
      <c r="BJ5" s="7"/>
      <c r="BK5" s="7"/>
      <c r="BL5" s="7"/>
      <c r="BM5" s="7" t="s">
        <v>5</v>
      </c>
      <c r="BN5" s="7" t="s">
        <v>5</v>
      </c>
      <c r="BO5" s="7"/>
      <c r="BP5" s="7"/>
      <c r="BQ5" s="7"/>
      <c r="BR5" s="7"/>
      <c r="BS5" s="7"/>
      <c r="BT5" s="7" t="s">
        <v>5</v>
      </c>
      <c r="BU5" s="7" t="s">
        <v>5</v>
      </c>
      <c r="BV5" s="7"/>
      <c r="BW5" s="7"/>
      <c r="BX5" s="7"/>
      <c r="BY5" s="7"/>
      <c r="BZ5" s="7"/>
      <c r="CA5" s="7" t="s">
        <v>5</v>
      </c>
      <c r="CB5" s="7" t="s">
        <v>5</v>
      </c>
      <c r="CC5" s="7"/>
      <c r="CD5" s="7"/>
      <c r="CE5" s="7"/>
      <c r="CF5" s="7"/>
      <c r="CG5" s="7"/>
      <c r="CH5" s="7" t="s">
        <v>5</v>
      </c>
      <c r="CI5" s="7" t="s">
        <v>5</v>
      </c>
      <c r="CJ5" s="7"/>
      <c r="CK5" s="7"/>
      <c r="CL5" s="7"/>
      <c r="CM5" s="7"/>
      <c r="CN5" s="7"/>
    </row>
    <row r="6" spans="1:92" hidden="1">
      <c r="A6" s="7" t="s">
        <v>2</v>
      </c>
      <c r="B6" s="7" t="s">
        <v>3</v>
      </c>
      <c r="C6" s="7" t="s">
        <v>10</v>
      </c>
      <c r="D6" s="7"/>
      <c r="E6" s="7"/>
      <c r="F6" s="7"/>
      <c r="G6" s="7"/>
      <c r="H6" s="7"/>
      <c r="I6" s="7" t="s">
        <v>5</v>
      </c>
      <c r="J6" s="7" t="s">
        <v>5</v>
      </c>
      <c r="K6" s="7"/>
      <c r="L6" s="7"/>
      <c r="M6" s="7"/>
      <c r="N6" s="7"/>
      <c r="O6" s="7"/>
      <c r="P6" s="7" t="s">
        <v>5</v>
      </c>
      <c r="Q6" s="7" t="s">
        <v>5</v>
      </c>
      <c r="R6" s="7"/>
      <c r="S6" s="7"/>
      <c r="T6" s="7"/>
      <c r="U6" s="7"/>
      <c r="V6" s="7"/>
      <c r="W6" s="7" t="s">
        <v>5</v>
      </c>
      <c r="X6" s="7" t="s">
        <v>5</v>
      </c>
      <c r="Y6" s="7"/>
      <c r="Z6" s="7"/>
      <c r="AA6" s="7"/>
      <c r="AB6" s="7"/>
      <c r="AC6" s="7"/>
      <c r="AD6" s="7" t="s">
        <v>5</v>
      </c>
      <c r="AE6" s="7" t="s">
        <v>5</v>
      </c>
      <c r="AF6" s="7"/>
      <c r="AG6" s="7"/>
      <c r="AH6" s="7"/>
      <c r="AI6" s="7"/>
      <c r="AJ6" s="7"/>
      <c r="AK6" s="7" t="s">
        <v>5</v>
      </c>
      <c r="AL6" s="7" t="s">
        <v>5</v>
      </c>
      <c r="AM6" s="7"/>
      <c r="AN6" s="7"/>
      <c r="AO6" s="7"/>
      <c r="AP6" s="7"/>
      <c r="AQ6" s="7"/>
      <c r="AR6" s="7" t="s">
        <v>5</v>
      </c>
      <c r="AS6" s="7" t="s">
        <v>5</v>
      </c>
      <c r="AT6" s="7"/>
      <c r="AU6" s="7"/>
      <c r="AV6" s="7"/>
      <c r="AW6" s="7"/>
      <c r="AX6" s="7"/>
      <c r="AY6" s="7" t="s">
        <v>5</v>
      </c>
      <c r="AZ6" s="7" t="s">
        <v>5</v>
      </c>
      <c r="BA6" s="7"/>
      <c r="BB6" s="7"/>
      <c r="BC6" s="7"/>
      <c r="BD6" s="7"/>
      <c r="BE6" s="7"/>
      <c r="BF6" s="7" t="s">
        <v>5</v>
      </c>
      <c r="BG6" s="7" t="s">
        <v>5</v>
      </c>
      <c r="BH6" s="7"/>
      <c r="BI6" s="7"/>
      <c r="BJ6" s="7"/>
      <c r="BK6" s="7"/>
      <c r="BL6" s="7"/>
      <c r="BM6" s="7" t="s">
        <v>5</v>
      </c>
      <c r="BN6" s="7" t="s">
        <v>5</v>
      </c>
      <c r="BO6" s="7"/>
      <c r="BP6" s="7"/>
      <c r="BQ6" s="7"/>
      <c r="BR6" s="7"/>
      <c r="BS6" s="7"/>
      <c r="BT6" s="7" t="s">
        <v>5</v>
      </c>
      <c r="BU6" s="7" t="s">
        <v>5</v>
      </c>
      <c r="BV6" s="7"/>
      <c r="BW6" s="7"/>
      <c r="BX6" s="7"/>
      <c r="BY6" s="7"/>
      <c r="BZ6" s="7"/>
      <c r="CA6" s="7" t="s">
        <v>5</v>
      </c>
      <c r="CB6" s="7" t="s">
        <v>5</v>
      </c>
      <c r="CC6" s="7"/>
      <c r="CD6" s="7"/>
      <c r="CE6" s="7"/>
      <c r="CF6" s="7"/>
      <c r="CG6" s="7"/>
      <c r="CH6" s="7" t="s">
        <v>5</v>
      </c>
      <c r="CI6" s="7" t="s">
        <v>5</v>
      </c>
      <c r="CJ6" s="7"/>
      <c r="CK6" s="7"/>
      <c r="CL6" s="7"/>
      <c r="CM6" s="7"/>
      <c r="CN6" s="7"/>
    </row>
    <row r="7" spans="1:92" hidden="1">
      <c r="A7" s="7" t="s">
        <v>2</v>
      </c>
      <c r="B7" s="7" t="s">
        <v>3</v>
      </c>
      <c r="C7" s="7" t="s">
        <v>11</v>
      </c>
      <c r="D7" s="7"/>
      <c r="E7" s="7"/>
      <c r="F7" s="7"/>
      <c r="G7" s="7"/>
      <c r="H7" s="7"/>
      <c r="I7" s="7" t="s">
        <v>5</v>
      </c>
      <c r="J7" s="7" t="s">
        <v>5</v>
      </c>
      <c r="K7" s="7"/>
      <c r="L7" s="7"/>
      <c r="M7" s="7"/>
      <c r="N7" s="7"/>
      <c r="O7" s="7"/>
      <c r="P7" s="7" t="s">
        <v>5</v>
      </c>
      <c r="Q7" s="7" t="s">
        <v>5</v>
      </c>
      <c r="R7" s="7"/>
      <c r="S7" s="7"/>
      <c r="T7" s="7"/>
      <c r="U7" s="7"/>
      <c r="V7" s="7"/>
      <c r="W7" s="7" t="s">
        <v>5</v>
      </c>
      <c r="X7" s="7" t="s">
        <v>5</v>
      </c>
      <c r="Y7" s="7"/>
      <c r="Z7" s="7"/>
      <c r="AA7" s="7"/>
      <c r="AB7" s="7"/>
      <c r="AC7" s="7"/>
      <c r="AD7" s="7" t="s">
        <v>5</v>
      </c>
      <c r="AE7" s="7" t="s">
        <v>5</v>
      </c>
      <c r="AF7" s="7"/>
      <c r="AG7" s="7"/>
      <c r="AH7" s="7"/>
      <c r="AI7" s="7"/>
      <c r="AJ7" s="7"/>
      <c r="AK7" s="7" t="s">
        <v>5</v>
      </c>
      <c r="AL7" s="7" t="s">
        <v>5</v>
      </c>
      <c r="AM7" s="7"/>
      <c r="AN7" s="7"/>
      <c r="AO7" s="7"/>
      <c r="AP7" s="7"/>
      <c r="AQ7" s="7"/>
      <c r="AR7" s="7" t="s">
        <v>5</v>
      </c>
      <c r="AS7" s="7" t="s">
        <v>5</v>
      </c>
      <c r="AT7" s="7"/>
      <c r="AU7" s="7"/>
      <c r="AV7" s="7"/>
      <c r="AW7" s="7"/>
      <c r="AX7" s="7"/>
      <c r="AY7" s="7" t="s">
        <v>5</v>
      </c>
      <c r="AZ7" s="7" t="s">
        <v>5</v>
      </c>
      <c r="BA7" s="7"/>
      <c r="BB7" s="7"/>
      <c r="BC7" s="7"/>
      <c r="BD7" s="7"/>
      <c r="BE7" s="7"/>
      <c r="BF7" s="7" t="s">
        <v>5</v>
      </c>
      <c r="BG7" s="7" t="s">
        <v>5</v>
      </c>
      <c r="BH7" s="7"/>
      <c r="BI7" s="7"/>
      <c r="BJ7" s="7"/>
      <c r="BK7" s="7"/>
      <c r="BL7" s="7"/>
      <c r="BM7" s="7" t="s">
        <v>5</v>
      </c>
      <c r="BN7" s="7" t="s">
        <v>5</v>
      </c>
      <c r="BO7" s="7"/>
      <c r="BP7" s="7"/>
      <c r="BQ7" s="7"/>
      <c r="BR7" s="7"/>
      <c r="BS7" s="7"/>
      <c r="BT7" s="7" t="s">
        <v>5</v>
      </c>
      <c r="BU7" s="7" t="s">
        <v>5</v>
      </c>
      <c r="BV7" s="7"/>
      <c r="BW7" s="7"/>
      <c r="BX7" s="7"/>
      <c r="BY7" s="7"/>
      <c r="BZ7" s="7"/>
      <c r="CA7" s="7" t="s">
        <v>5</v>
      </c>
      <c r="CB7" s="7" t="s">
        <v>5</v>
      </c>
      <c r="CC7" s="7"/>
      <c r="CD7" s="7"/>
      <c r="CE7" s="7"/>
      <c r="CF7" s="7"/>
      <c r="CG7" s="7"/>
      <c r="CH7" s="7" t="s">
        <v>5</v>
      </c>
      <c r="CI7" s="7" t="s">
        <v>5</v>
      </c>
      <c r="CJ7" s="7"/>
      <c r="CK7" s="7"/>
      <c r="CL7" s="7"/>
      <c r="CM7" s="7"/>
      <c r="CN7" s="7"/>
    </row>
    <row r="8" spans="1:92" hidden="1">
      <c r="A8" s="7" t="s">
        <v>2</v>
      </c>
      <c r="B8" s="7" t="s">
        <v>3</v>
      </c>
      <c r="C8" s="7" t="s">
        <v>12</v>
      </c>
      <c r="D8" s="7"/>
      <c r="E8" s="7"/>
      <c r="F8" s="7"/>
      <c r="G8" s="7"/>
      <c r="H8" s="7"/>
      <c r="I8" s="7" t="s">
        <v>5</v>
      </c>
      <c r="J8" s="7" t="s">
        <v>5</v>
      </c>
      <c r="K8" s="7"/>
      <c r="L8" s="7"/>
      <c r="M8" s="7"/>
      <c r="N8" s="7"/>
      <c r="O8" s="7"/>
      <c r="P8" s="7" t="s">
        <v>5</v>
      </c>
      <c r="Q8" s="7" t="s">
        <v>5</v>
      </c>
      <c r="R8" s="7"/>
      <c r="S8" s="7"/>
      <c r="T8" s="7"/>
      <c r="U8" s="7"/>
      <c r="V8" s="7"/>
      <c r="W8" s="7" t="s">
        <v>5</v>
      </c>
      <c r="X8" s="7" t="s">
        <v>5</v>
      </c>
      <c r="Y8" s="7"/>
      <c r="Z8" s="7"/>
      <c r="AA8" s="7"/>
      <c r="AB8" s="7"/>
      <c r="AC8" s="7"/>
      <c r="AD8" s="7" t="s">
        <v>5</v>
      </c>
      <c r="AE8" s="7" t="s">
        <v>5</v>
      </c>
      <c r="AF8" s="7"/>
      <c r="AG8" s="7"/>
      <c r="AH8" s="7"/>
      <c r="AI8" s="7"/>
      <c r="AJ8" s="7"/>
      <c r="AK8" s="7" t="s">
        <v>5</v>
      </c>
      <c r="AL8" s="7" t="s">
        <v>5</v>
      </c>
      <c r="AM8" s="7"/>
      <c r="AN8" s="7"/>
      <c r="AO8" s="7"/>
      <c r="AP8" s="7"/>
      <c r="AQ8" s="7"/>
      <c r="AR8" s="7" t="s">
        <v>5</v>
      </c>
      <c r="AS8" s="7" t="s">
        <v>5</v>
      </c>
      <c r="AT8" s="7"/>
      <c r="AU8" s="7"/>
      <c r="AV8" s="7"/>
      <c r="AW8" s="7"/>
      <c r="AX8" s="7"/>
      <c r="AY8" s="7" t="s">
        <v>5</v>
      </c>
      <c r="AZ8" s="7" t="s">
        <v>5</v>
      </c>
      <c r="BA8" s="7"/>
      <c r="BB8" s="7"/>
      <c r="BC8" s="7"/>
      <c r="BD8" s="7"/>
      <c r="BE8" s="7"/>
      <c r="BF8" s="7" t="s">
        <v>5</v>
      </c>
      <c r="BG8" s="7" t="s">
        <v>5</v>
      </c>
      <c r="BH8" s="7"/>
      <c r="BI8" s="7"/>
      <c r="BJ8" s="7"/>
      <c r="BK8" s="7"/>
      <c r="BL8" s="7"/>
      <c r="BM8" s="7" t="s">
        <v>5</v>
      </c>
      <c r="BN8" s="7" t="s">
        <v>5</v>
      </c>
      <c r="BO8" s="7"/>
      <c r="BP8" s="7"/>
      <c r="BQ8" s="7"/>
      <c r="BR8" s="7"/>
      <c r="BS8" s="7"/>
      <c r="BT8" s="7" t="s">
        <v>5</v>
      </c>
      <c r="BU8" s="7" t="s">
        <v>5</v>
      </c>
      <c r="BV8" s="7"/>
      <c r="BW8" s="7"/>
      <c r="BX8" s="7"/>
      <c r="BY8" s="7"/>
      <c r="BZ8" s="7"/>
      <c r="CA8" s="7" t="s">
        <v>5</v>
      </c>
      <c r="CB8" s="7" t="s">
        <v>5</v>
      </c>
      <c r="CC8" s="7"/>
      <c r="CD8" s="7"/>
      <c r="CE8" s="7"/>
      <c r="CF8" s="7"/>
      <c r="CG8" s="7"/>
      <c r="CH8" s="7" t="s">
        <v>5</v>
      </c>
      <c r="CI8" s="7" t="s">
        <v>5</v>
      </c>
      <c r="CJ8" s="7"/>
      <c r="CK8" s="7"/>
      <c r="CL8" s="7"/>
      <c r="CM8" s="7"/>
      <c r="CN8" s="7"/>
    </row>
    <row r="9" spans="1:92" hidden="1">
      <c r="A9" s="7" t="s">
        <v>2</v>
      </c>
      <c r="B9" s="7" t="s">
        <v>3</v>
      </c>
      <c r="C9" s="7" t="s">
        <v>13</v>
      </c>
      <c r="D9" s="7"/>
      <c r="E9" s="7"/>
      <c r="F9" s="7"/>
      <c r="G9" s="7"/>
      <c r="H9" s="7"/>
      <c r="I9" s="7" t="s">
        <v>5</v>
      </c>
      <c r="J9" s="7" t="s">
        <v>5</v>
      </c>
      <c r="K9" s="7"/>
      <c r="L9" s="7"/>
      <c r="M9" s="7"/>
      <c r="N9" s="7"/>
      <c r="O9" s="7"/>
      <c r="P9" s="7" t="s">
        <v>5</v>
      </c>
      <c r="Q9" s="7" t="s">
        <v>5</v>
      </c>
      <c r="R9" s="7"/>
      <c r="S9" s="7"/>
      <c r="T9" s="7"/>
      <c r="U9" s="7"/>
      <c r="V9" s="7"/>
      <c r="W9" s="7" t="s">
        <v>5</v>
      </c>
      <c r="X9" s="7" t="s">
        <v>5</v>
      </c>
      <c r="Y9" s="7"/>
      <c r="Z9" s="7"/>
      <c r="AA9" s="7"/>
      <c r="AB9" s="7"/>
      <c r="AC9" s="7"/>
      <c r="AD9" s="7" t="s">
        <v>5</v>
      </c>
      <c r="AE9" s="7" t="s">
        <v>5</v>
      </c>
      <c r="AF9" s="7"/>
      <c r="AG9" s="7"/>
      <c r="AH9" s="7"/>
      <c r="AI9" s="7"/>
      <c r="AJ9" s="7"/>
      <c r="AK9" s="7" t="s">
        <v>5</v>
      </c>
      <c r="AL9" s="7" t="s">
        <v>5</v>
      </c>
      <c r="AM9" s="7"/>
      <c r="AN9" s="7"/>
      <c r="AO9" s="7"/>
      <c r="AP9" s="7"/>
      <c r="AQ9" s="7"/>
      <c r="AR9" s="7" t="s">
        <v>5</v>
      </c>
      <c r="AS9" s="7" t="s">
        <v>5</v>
      </c>
      <c r="AT9" s="7"/>
      <c r="AU9" s="7"/>
      <c r="AV9" s="7"/>
      <c r="AW9" s="7"/>
      <c r="AX9" s="7"/>
      <c r="AY9" s="7" t="s">
        <v>5</v>
      </c>
      <c r="AZ9" s="7" t="s">
        <v>5</v>
      </c>
      <c r="BA9" s="7"/>
      <c r="BB9" s="7"/>
      <c r="BC9" s="7"/>
      <c r="BD9" s="7"/>
      <c r="BE9" s="7"/>
      <c r="BF9" s="7" t="s">
        <v>5</v>
      </c>
      <c r="BG9" s="7" t="s">
        <v>5</v>
      </c>
      <c r="BH9" s="7"/>
      <c r="BI9" s="7"/>
      <c r="BJ9" s="7"/>
      <c r="BK9" s="7"/>
      <c r="BL9" s="7"/>
      <c r="BM9" s="7" t="s">
        <v>5</v>
      </c>
      <c r="BN9" s="7" t="s">
        <v>5</v>
      </c>
      <c r="BO9" s="7"/>
      <c r="BP9" s="7"/>
      <c r="BQ9" s="7"/>
      <c r="BR9" s="7"/>
      <c r="BS9" s="7"/>
      <c r="BT9" s="7" t="s">
        <v>5</v>
      </c>
      <c r="BU9" s="7" t="s">
        <v>5</v>
      </c>
      <c r="BV9" s="7"/>
      <c r="BW9" s="7"/>
      <c r="BX9" s="7"/>
      <c r="BY9" s="7"/>
      <c r="BZ9" s="7"/>
      <c r="CA9" s="7" t="s">
        <v>5</v>
      </c>
      <c r="CB9" s="7" t="s">
        <v>5</v>
      </c>
      <c r="CC9" s="7"/>
      <c r="CD9" s="7"/>
      <c r="CE9" s="7"/>
      <c r="CF9" s="7"/>
      <c r="CG9" s="7"/>
      <c r="CH9" s="7" t="s">
        <v>5</v>
      </c>
      <c r="CI9" s="7" t="s">
        <v>5</v>
      </c>
      <c r="CJ9" s="7"/>
      <c r="CK9" s="7"/>
      <c r="CL9" s="7"/>
      <c r="CM9" s="7"/>
      <c r="CN9" s="7"/>
    </row>
    <row r="10" spans="1:92" hidden="1">
      <c r="A10" s="7" t="s">
        <v>2</v>
      </c>
      <c r="B10" s="7" t="s">
        <v>3</v>
      </c>
      <c r="C10" s="7" t="s">
        <v>14</v>
      </c>
      <c r="D10" s="7"/>
      <c r="E10" s="7"/>
      <c r="F10" s="7"/>
      <c r="G10" s="7"/>
      <c r="H10" s="7"/>
      <c r="I10" s="7" t="s">
        <v>5</v>
      </c>
      <c r="J10" s="7" t="s">
        <v>5</v>
      </c>
      <c r="K10" s="7"/>
      <c r="L10" s="7"/>
      <c r="M10" s="7"/>
      <c r="N10" s="7"/>
      <c r="O10" s="7"/>
      <c r="P10" s="7" t="s">
        <v>5</v>
      </c>
      <c r="Q10" s="7" t="s">
        <v>5</v>
      </c>
      <c r="R10" s="7"/>
      <c r="S10" s="7"/>
      <c r="T10" s="7"/>
      <c r="U10" s="7"/>
      <c r="V10" s="7"/>
      <c r="W10" s="7" t="s">
        <v>5</v>
      </c>
      <c r="X10" s="7" t="s">
        <v>5</v>
      </c>
      <c r="Y10" s="7"/>
      <c r="Z10" s="7"/>
      <c r="AA10" s="7"/>
      <c r="AB10" s="7"/>
      <c r="AC10" s="7"/>
      <c r="AD10" s="7" t="s">
        <v>5</v>
      </c>
      <c r="AE10" s="7" t="s">
        <v>5</v>
      </c>
      <c r="AF10" s="7"/>
      <c r="AG10" s="7"/>
      <c r="AH10" s="7"/>
      <c r="AI10" s="7"/>
      <c r="AJ10" s="7"/>
      <c r="AK10" s="7" t="s">
        <v>5</v>
      </c>
      <c r="AL10" s="7" t="s">
        <v>5</v>
      </c>
      <c r="AM10" s="7"/>
      <c r="AN10" s="7"/>
      <c r="AO10" s="7"/>
      <c r="AP10" s="7"/>
      <c r="AQ10" s="7"/>
      <c r="AR10" s="7" t="s">
        <v>5</v>
      </c>
      <c r="AS10" s="7" t="s">
        <v>5</v>
      </c>
      <c r="AT10" s="7"/>
      <c r="AU10" s="7"/>
      <c r="AV10" s="7"/>
      <c r="AW10" s="7"/>
      <c r="AX10" s="7"/>
      <c r="AY10" s="7" t="s">
        <v>5</v>
      </c>
      <c r="AZ10" s="7" t="s">
        <v>5</v>
      </c>
      <c r="BA10" s="7"/>
      <c r="BB10" s="7"/>
      <c r="BC10" s="7"/>
      <c r="BD10" s="7"/>
      <c r="BE10" s="7"/>
      <c r="BF10" s="7" t="s">
        <v>5</v>
      </c>
      <c r="BG10" s="7" t="s">
        <v>5</v>
      </c>
      <c r="BH10" s="7"/>
      <c r="BI10" s="7"/>
      <c r="BJ10" s="7"/>
      <c r="BK10" s="7"/>
      <c r="BL10" s="7"/>
      <c r="BM10" s="7" t="s">
        <v>5</v>
      </c>
      <c r="BN10" s="7" t="s">
        <v>5</v>
      </c>
      <c r="BO10" s="7"/>
      <c r="BP10" s="7"/>
      <c r="BQ10" s="7"/>
      <c r="BR10" s="7"/>
      <c r="BS10" s="7"/>
      <c r="BT10" s="7" t="s">
        <v>5</v>
      </c>
      <c r="BU10" s="7" t="s">
        <v>5</v>
      </c>
      <c r="BV10" s="7"/>
      <c r="BW10" s="7"/>
      <c r="BX10" s="7"/>
      <c r="BY10" s="7"/>
      <c r="BZ10" s="7"/>
      <c r="CA10" s="7" t="s">
        <v>5</v>
      </c>
      <c r="CB10" s="7" t="s">
        <v>5</v>
      </c>
      <c r="CC10" s="7"/>
      <c r="CD10" s="7"/>
      <c r="CE10" s="7"/>
      <c r="CF10" s="7"/>
      <c r="CG10" s="7"/>
      <c r="CH10" s="7" t="s">
        <v>5</v>
      </c>
      <c r="CI10" s="7" t="s">
        <v>5</v>
      </c>
      <c r="CJ10" s="7"/>
      <c r="CK10" s="7"/>
      <c r="CL10" s="7"/>
      <c r="CM10" s="7"/>
      <c r="CN10" s="7"/>
    </row>
    <row r="11" spans="1:92">
      <c r="A11" s="7" t="s">
        <v>15</v>
      </c>
      <c r="B11" s="7" t="s">
        <v>3</v>
      </c>
      <c r="C11" s="7" t="s">
        <v>16</v>
      </c>
      <c r="D11" s="7" t="s">
        <v>17</v>
      </c>
      <c r="E11" s="7" t="s">
        <v>18</v>
      </c>
      <c r="F11" s="7" t="s">
        <v>17</v>
      </c>
      <c r="G11" s="7" t="s">
        <v>17</v>
      </c>
      <c r="H11" s="7" t="s">
        <v>17</v>
      </c>
      <c r="I11" s="7" t="s">
        <v>5</v>
      </c>
      <c r="J11" s="7" t="s">
        <v>5</v>
      </c>
      <c r="K11" s="7"/>
      <c r="L11" s="7"/>
      <c r="M11" s="7"/>
      <c r="N11" s="7"/>
      <c r="O11" s="7"/>
      <c r="P11" s="7" t="s">
        <v>5</v>
      </c>
      <c r="Q11" s="7" t="s">
        <v>5</v>
      </c>
      <c r="R11" s="7"/>
      <c r="S11" s="7"/>
      <c r="T11" s="7"/>
      <c r="U11" s="7"/>
      <c r="V11" s="7"/>
      <c r="W11" s="7" t="s">
        <v>5</v>
      </c>
      <c r="X11" s="7" t="s">
        <v>5</v>
      </c>
      <c r="Y11" s="7"/>
      <c r="Z11" s="7"/>
      <c r="AA11" s="7"/>
      <c r="AB11" s="7"/>
      <c r="AC11" s="7"/>
      <c r="AD11" s="7" t="s">
        <v>5</v>
      </c>
      <c r="AE11" s="7" t="s">
        <v>5</v>
      </c>
      <c r="AF11" s="7"/>
      <c r="AG11" s="7"/>
      <c r="AH11" s="7"/>
      <c r="AI11" s="7"/>
      <c r="AJ11" s="7"/>
      <c r="AK11" s="7" t="s">
        <v>5</v>
      </c>
      <c r="AL11" s="7" t="s">
        <v>5</v>
      </c>
      <c r="AM11" s="7"/>
      <c r="AN11" s="7"/>
      <c r="AO11" s="7"/>
      <c r="AP11" s="7"/>
      <c r="AQ11" s="7"/>
      <c r="AR11" s="7" t="s">
        <v>5</v>
      </c>
      <c r="AS11" s="7" t="s">
        <v>5</v>
      </c>
      <c r="AT11" s="7"/>
      <c r="AU11" s="7"/>
      <c r="AV11" s="7"/>
      <c r="AW11" s="7"/>
      <c r="AX11" s="7"/>
      <c r="AY11" s="7" t="s">
        <v>5</v>
      </c>
      <c r="AZ11" s="7" t="s">
        <v>5</v>
      </c>
      <c r="BA11" s="7"/>
      <c r="BB11" s="7"/>
      <c r="BC11" s="7"/>
      <c r="BD11" s="7"/>
      <c r="BE11" s="7"/>
      <c r="BF11" s="7" t="s">
        <v>5</v>
      </c>
      <c r="BG11" s="7" t="s">
        <v>5</v>
      </c>
      <c r="BH11" s="7"/>
      <c r="BI11" s="7"/>
      <c r="BJ11" s="7"/>
      <c r="BK11" s="7"/>
      <c r="BL11" s="7"/>
      <c r="BM11" s="7" t="s">
        <v>5</v>
      </c>
      <c r="BN11" s="7" t="s">
        <v>5</v>
      </c>
      <c r="BO11" s="7"/>
      <c r="BP11" s="7"/>
      <c r="BQ11" s="7"/>
      <c r="BR11" s="7"/>
      <c r="BS11" s="7"/>
      <c r="BT11" s="7" t="s">
        <v>5</v>
      </c>
      <c r="BU11" s="7" t="s">
        <v>5</v>
      </c>
      <c r="BV11" s="7"/>
      <c r="BW11" s="7"/>
      <c r="BX11" s="7"/>
      <c r="BY11" s="7"/>
      <c r="BZ11" s="7"/>
      <c r="CA11" s="7" t="s">
        <v>5</v>
      </c>
      <c r="CB11" s="7" t="s">
        <v>5</v>
      </c>
      <c r="CC11" s="7"/>
      <c r="CD11" s="7"/>
      <c r="CE11" s="7"/>
      <c r="CF11" s="7"/>
      <c r="CG11" s="7"/>
      <c r="CH11" s="7" t="s">
        <v>5</v>
      </c>
      <c r="CI11" s="7" t="s">
        <v>5</v>
      </c>
      <c r="CJ11" s="7"/>
      <c r="CK11" s="7"/>
      <c r="CL11" s="7"/>
      <c r="CM11" s="7"/>
      <c r="CN11" s="7"/>
    </row>
    <row r="12" spans="1:92">
      <c r="A12" s="7" t="s">
        <v>15</v>
      </c>
      <c r="B12" s="7" t="s">
        <v>3</v>
      </c>
      <c r="C12" s="7" t="s">
        <v>19</v>
      </c>
      <c r="D12" s="7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7" t="s">
        <v>5</v>
      </c>
      <c r="J12" s="7" t="s">
        <v>5</v>
      </c>
      <c r="K12" s="7"/>
      <c r="L12" s="7"/>
      <c r="M12" s="7"/>
      <c r="N12" s="7"/>
      <c r="O12" s="7"/>
      <c r="P12" s="7" t="s">
        <v>5</v>
      </c>
      <c r="Q12" s="7" t="s">
        <v>5</v>
      </c>
      <c r="R12" s="7"/>
      <c r="S12" s="7"/>
      <c r="T12" s="7"/>
      <c r="U12" s="7"/>
      <c r="V12" s="7"/>
      <c r="W12" s="7" t="s">
        <v>5</v>
      </c>
      <c r="X12" s="7" t="s">
        <v>5</v>
      </c>
      <c r="Y12" s="7"/>
      <c r="Z12" s="7"/>
      <c r="AA12" s="7"/>
      <c r="AB12" s="7"/>
      <c r="AC12" s="7"/>
      <c r="AD12" s="7" t="s">
        <v>5</v>
      </c>
      <c r="AE12" s="7" t="s">
        <v>5</v>
      </c>
      <c r="AF12" s="7"/>
      <c r="AG12" s="7"/>
      <c r="AH12" s="7"/>
      <c r="AI12" s="7"/>
      <c r="AJ12" s="7"/>
      <c r="AK12" s="7" t="s">
        <v>5</v>
      </c>
      <c r="AL12" s="7" t="s">
        <v>5</v>
      </c>
      <c r="AM12" s="7"/>
      <c r="AN12" s="7"/>
      <c r="AO12" s="7"/>
      <c r="AP12" s="7"/>
      <c r="AQ12" s="7"/>
      <c r="AR12" s="7" t="s">
        <v>5</v>
      </c>
      <c r="AS12" s="7" t="s">
        <v>5</v>
      </c>
      <c r="AT12" s="7"/>
      <c r="AU12" s="7"/>
      <c r="AV12" s="7"/>
      <c r="AW12" s="7"/>
      <c r="AX12" s="7"/>
      <c r="AY12" s="7" t="s">
        <v>5</v>
      </c>
      <c r="AZ12" s="7" t="s">
        <v>5</v>
      </c>
      <c r="BA12" s="7"/>
      <c r="BB12" s="7"/>
      <c r="BC12" s="7"/>
      <c r="BD12" s="7"/>
      <c r="BE12" s="7"/>
      <c r="BF12" s="7" t="s">
        <v>5</v>
      </c>
      <c r="BG12" s="7" t="s">
        <v>5</v>
      </c>
      <c r="BH12" s="7"/>
      <c r="BI12" s="7"/>
      <c r="BJ12" s="7"/>
      <c r="BK12" s="7"/>
      <c r="BL12" s="7"/>
      <c r="BM12" s="7" t="s">
        <v>5</v>
      </c>
      <c r="BN12" s="7" t="s">
        <v>5</v>
      </c>
      <c r="BO12" s="7"/>
      <c r="BP12" s="7"/>
      <c r="BQ12" s="7"/>
      <c r="BR12" s="7"/>
      <c r="BS12" s="7"/>
      <c r="BT12" s="7" t="s">
        <v>5</v>
      </c>
      <c r="BU12" s="7" t="s">
        <v>5</v>
      </c>
      <c r="BV12" s="7"/>
      <c r="BW12" s="7"/>
      <c r="BX12" s="7"/>
      <c r="BY12" s="7"/>
      <c r="BZ12" s="7"/>
      <c r="CA12" s="7" t="s">
        <v>5</v>
      </c>
      <c r="CB12" s="7" t="s">
        <v>5</v>
      </c>
      <c r="CC12" s="7"/>
      <c r="CD12" s="7"/>
      <c r="CE12" s="7"/>
      <c r="CF12" s="7"/>
      <c r="CG12" s="7"/>
      <c r="CH12" s="7" t="s">
        <v>5</v>
      </c>
      <c r="CI12" s="7" t="s">
        <v>5</v>
      </c>
      <c r="CJ12" s="7"/>
      <c r="CK12" s="7"/>
      <c r="CL12" s="7"/>
      <c r="CM12" s="7"/>
      <c r="CN12" s="7"/>
    </row>
    <row r="13" spans="1:92">
      <c r="A13" s="7" t="s">
        <v>15</v>
      </c>
      <c r="B13" s="7" t="s">
        <v>3</v>
      </c>
      <c r="C13" s="7" t="s">
        <v>21</v>
      </c>
      <c r="D13" s="7" t="s">
        <v>22</v>
      </c>
      <c r="E13" s="7" t="s">
        <v>22</v>
      </c>
      <c r="F13" s="7" t="s">
        <v>22</v>
      </c>
      <c r="G13" s="7" t="s">
        <v>22</v>
      </c>
      <c r="H13" s="7" t="s">
        <v>22</v>
      </c>
      <c r="I13" s="7" t="s">
        <v>5</v>
      </c>
      <c r="J13" s="7" t="s">
        <v>5</v>
      </c>
      <c r="K13" s="7"/>
      <c r="L13" s="7"/>
      <c r="M13" s="7"/>
      <c r="N13" s="7"/>
      <c r="O13" s="7"/>
      <c r="P13" s="7" t="s">
        <v>5</v>
      </c>
      <c r="Q13" s="7" t="s">
        <v>5</v>
      </c>
      <c r="R13" s="7"/>
      <c r="S13" s="7"/>
      <c r="T13" s="7"/>
      <c r="U13" s="7"/>
      <c r="V13" s="7"/>
      <c r="W13" s="7" t="s">
        <v>5</v>
      </c>
      <c r="X13" s="7" t="s">
        <v>5</v>
      </c>
      <c r="Y13" s="7"/>
      <c r="Z13" s="7"/>
      <c r="AA13" s="7"/>
      <c r="AB13" s="7"/>
      <c r="AC13" s="7"/>
      <c r="AD13" s="7" t="s">
        <v>5</v>
      </c>
      <c r="AE13" s="7" t="s">
        <v>5</v>
      </c>
      <c r="AF13" s="7"/>
      <c r="AG13" s="7"/>
      <c r="AH13" s="7"/>
      <c r="AI13" s="7"/>
      <c r="AJ13" s="7"/>
      <c r="AK13" s="7" t="s">
        <v>5</v>
      </c>
      <c r="AL13" s="7" t="s">
        <v>5</v>
      </c>
      <c r="AM13" s="7"/>
      <c r="AN13" s="7"/>
      <c r="AO13" s="7"/>
      <c r="AP13" s="7"/>
      <c r="AQ13" s="7"/>
      <c r="AR13" s="7" t="s">
        <v>5</v>
      </c>
      <c r="AS13" s="7" t="s">
        <v>5</v>
      </c>
      <c r="AT13" s="7"/>
      <c r="AU13" s="7"/>
      <c r="AV13" s="7"/>
      <c r="AW13" s="7"/>
      <c r="AX13" s="7"/>
      <c r="AY13" s="7" t="s">
        <v>5</v>
      </c>
      <c r="AZ13" s="7" t="s">
        <v>5</v>
      </c>
      <c r="BA13" s="7"/>
      <c r="BB13" s="7"/>
      <c r="BC13" s="7"/>
      <c r="BD13" s="7"/>
      <c r="BE13" s="7"/>
      <c r="BF13" s="7" t="s">
        <v>5</v>
      </c>
      <c r="BG13" s="7" t="s">
        <v>5</v>
      </c>
      <c r="BH13" s="7"/>
      <c r="BI13" s="7"/>
      <c r="BJ13" s="7"/>
      <c r="BK13" s="7"/>
      <c r="BL13" s="7"/>
      <c r="BM13" s="7" t="s">
        <v>5</v>
      </c>
      <c r="BN13" s="7" t="s">
        <v>5</v>
      </c>
      <c r="BO13" s="7"/>
      <c r="BP13" s="7"/>
      <c r="BQ13" s="7"/>
      <c r="BR13" s="7"/>
      <c r="BS13" s="7"/>
      <c r="BT13" s="7" t="s">
        <v>5</v>
      </c>
      <c r="BU13" s="7" t="s">
        <v>5</v>
      </c>
      <c r="BV13" s="7"/>
      <c r="BW13" s="7"/>
      <c r="BX13" s="7"/>
      <c r="BY13" s="7"/>
      <c r="BZ13" s="7"/>
      <c r="CA13" s="7" t="s">
        <v>5</v>
      </c>
      <c r="CB13" s="7" t="s">
        <v>5</v>
      </c>
      <c r="CC13" s="7"/>
      <c r="CD13" s="7"/>
      <c r="CE13" s="7"/>
      <c r="CF13" s="7"/>
      <c r="CG13" s="7"/>
      <c r="CH13" s="7" t="s">
        <v>5</v>
      </c>
      <c r="CI13" s="7" t="s">
        <v>5</v>
      </c>
      <c r="CJ13" s="7"/>
      <c r="CK13" s="7"/>
      <c r="CL13" s="7"/>
      <c r="CM13" s="7"/>
      <c r="CN13" s="7"/>
    </row>
    <row r="14" spans="1:92">
      <c r="A14" s="7" t="s">
        <v>15</v>
      </c>
      <c r="B14" s="7" t="s">
        <v>3</v>
      </c>
      <c r="C14" s="7" t="s">
        <v>23</v>
      </c>
      <c r="D14" s="8"/>
      <c r="E14" s="8"/>
      <c r="F14" s="8"/>
      <c r="G14" s="8"/>
      <c r="H14" s="8"/>
      <c r="I14" s="7" t="s">
        <v>5</v>
      </c>
      <c r="J14" s="7" t="s">
        <v>5</v>
      </c>
      <c r="K14" s="7"/>
      <c r="L14" s="7"/>
      <c r="M14" s="7"/>
      <c r="N14" s="7"/>
      <c r="O14" s="7"/>
      <c r="P14" s="7" t="s">
        <v>5</v>
      </c>
      <c r="Q14" s="7" t="s">
        <v>5</v>
      </c>
      <c r="R14" s="7"/>
      <c r="S14" s="7"/>
      <c r="T14" s="7"/>
      <c r="U14" s="7"/>
      <c r="V14" s="7"/>
      <c r="W14" s="7" t="s">
        <v>5</v>
      </c>
      <c r="X14" s="7" t="s">
        <v>5</v>
      </c>
      <c r="Y14" s="7"/>
      <c r="Z14" s="7"/>
      <c r="AA14" s="7"/>
      <c r="AB14" s="7"/>
      <c r="AC14" s="7"/>
      <c r="AD14" s="7" t="s">
        <v>5</v>
      </c>
      <c r="AE14" s="7" t="s">
        <v>5</v>
      </c>
      <c r="AF14" s="7"/>
      <c r="AG14" s="7"/>
      <c r="AH14" s="7"/>
      <c r="AI14" s="7"/>
      <c r="AJ14" s="7"/>
      <c r="AK14" s="7" t="s">
        <v>5</v>
      </c>
      <c r="AL14" s="7" t="s">
        <v>5</v>
      </c>
      <c r="AM14" s="7"/>
      <c r="AN14" s="7"/>
      <c r="AO14" s="7"/>
      <c r="AP14" s="7"/>
      <c r="AQ14" s="7"/>
      <c r="AR14" s="7" t="s">
        <v>5</v>
      </c>
      <c r="AS14" s="7" t="s">
        <v>5</v>
      </c>
      <c r="AT14" s="7"/>
      <c r="AU14" s="7"/>
      <c r="AV14" s="7"/>
      <c r="AW14" s="7"/>
      <c r="AX14" s="7"/>
      <c r="AY14" s="7" t="s">
        <v>5</v>
      </c>
      <c r="AZ14" s="7" t="s">
        <v>5</v>
      </c>
      <c r="BA14" s="7"/>
      <c r="BB14" s="7"/>
      <c r="BC14" s="7"/>
      <c r="BD14" s="7"/>
      <c r="BE14" s="7"/>
      <c r="BF14" s="7" t="s">
        <v>5</v>
      </c>
      <c r="BG14" s="7" t="s">
        <v>5</v>
      </c>
      <c r="BH14" s="7"/>
      <c r="BI14" s="7"/>
      <c r="BJ14" s="7"/>
      <c r="BK14" s="7"/>
      <c r="BL14" s="7"/>
      <c r="BM14" s="7" t="s">
        <v>5</v>
      </c>
      <c r="BN14" s="7" t="s">
        <v>5</v>
      </c>
      <c r="BO14" s="7"/>
      <c r="BP14" s="7"/>
      <c r="BQ14" s="7"/>
      <c r="BR14" s="7"/>
      <c r="BS14" s="7"/>
      <c r="BT14" s="7" t="s">
        <v>5</v>
      </c>
      <c r="BU14" s="7" t="s">
        <v>5</v>
      </c>
      <c r="BV14" s="7"/>
      <c r="BW14" s="7"/>
      <c r="BX14" s="7"/>
      <c r="BY14" s="7"/>
      <c r="BZ14" s="7"/>
      <c r="CA14" s="7" t="s">
        <v>5</v>
      </c>
      <c r="CB14" s="7" t="s">
        <v>5</v>
      </c>
      <c r="CC14" s="7"/>
      <c r="CD14" s="7"/>
      <c r="CE14" s="7"/>
      <c r="CF14" s="7"/>
      <c r="CG14" s="7"/>
      <c r="CH14" s="7" t="s">
        <v>5</v>
      </c>
      <c r="CI14" s="7" t="s">
        <v>5</v>
      </c>
      <c r="CJ14" s="7"/>
      <c r="CK14" s="7"/>
      <c r="CL14" s="7"/>
      <c r="CM14" s="7"/>
      <c r="CN14" s="7"/>
    </row>
    <row r="15" spans="1:92">
      <c r="A15" s="7" t="s">
        <v>15</v>
      </c>
      <c r="B15" s="7" t="s">
        <v>3</v>
      </c>
      <c r="C15" s="7" t="s">
        <v>24</v>
      </c>
      <c r="D15" s="7" t="s">
        <v>18</v>
      </c>
      <c r="E15" s="7" t="s">
        <v>18</v>
      </c>
      <c r="F15" s="7" t="s">
        <v>18</v>
      </c>
      <c r="G15" s="7" t="s">
        <v>18</v>
      </c>
      <c r="H15" s="7" t="s">
        <v>18</v>
      </c>
      <c r="I15" s="7" t="s">
        <v>5</v>
      </c>
      <c r="J15" s="7" t="s">
        <v>5</v>
      </c>
      <c r="K15" s="7"/>
      <c r="L15" s="7"/>
      <c r="M15" s="7"/>
      <c r="N15" s="7"/>
      <c r="O15" s="7"/>
      <c r="P15" s="7" t="s">
        <v>5</v>
      </c>
      <c r="Q15" s="7" t="s">
        <v>5</v>
      </c>
      <c r="R15" s="7"/>
      <c r="S15" s="7"/>
      <c r="T15" s="7"/>
      <c r="U15" s="7"/>
      <c r="V15" s="7"/>
      <c r="W15" s="7" t="s">
        <v>5</v>
      </c>
      <c r="X15" s="7" t="s">
        <v>5</v>
      </c>
      <c r="Y15" s="7"/>
      <c r="Z15" s="7"/>
      <c r="AA15" s="7"/>
      <c r="AB15" s="7"/>
      <c r="AC15" s="7"/>
      <c r="AD15" s="7" t="s">
        <v>5</v>
      </c>
      <c r="AE15" s="7" t="s">
        <v>5</v>
      </c>
      <c r="AF15" s="7"/>
      <c r="AG15" s="7"/>
      <c r="AH15" s="7"/>
      <c r="AI15" s="7"/>
      <c r="AJ15" s="7"/>
      <c r="AK15" s="7" t="s">
        <v>5</v>
      </c>
      <c r="AL15" s="7" t="s">
        <v>5</v>
      </c>
      <c r="AM15" s="7"/>
      <c r="AN15" s="7"/>
      <c r="AO15" s="7"/>
      <c r="AP15" s="7"/>
      <c r="AQ15" s="7"/>
      <c r="AR15" s="7" t="s">
        <v>5</v>
      </c>
      <c r="AS15" s="7" t="s">
        <v>5</v>
      </c>
      <c r="AT15" s="7"/>
      <c r="AU15" s="7"/>
      <c r="AV15" s="7"/>
      <c r="AW15" s="7"/>
      <c r="AX15" s="7"/>
      <c r="AY15" s="7" t="s">
        <v>5</v>
      </c>
      <c r="AZ15" s="7" t="s">
        <v>5</v>
      </c>
      <c r="BA15" s="7"/>
      <c r="BB15" s="7"/>
      <c r="BC15" s="7"/>
      <c r="BD15" s="7"/>
      <c r="BE15" s="7"/>
      <c r="BF15" s="7" t="s">
        <v>5</v>
      </c>
      <c r="BG15" s="7" t="s">
        <v>5</v>
      </c>
      <c r="BH15" s="7"/>
      <c r="BI15" s="7"/>
      <c r="BJ15" s="7"/>
      <c r="BK15" s="7"/>
      <c r="BL15" s="7"/>
      <c r="BM15" s="7" t="s">
        <v>5</v>
      </c>
      <c r="BN15" s="7" t="s">
        <v>5</v>
      </c>
      <c r="BO15" s="7"/>
      <c r="BP15" s="7"/>
      <c r="BQ15" s="7"/>
      <c r="BR15" s="7"/>
      <c r="BS15" s="7"/>
      <c r="BT15" s="7" t="s">
        <v>5</v>
      </c>
      <c r="BU15" s="7" t="s">
        <v>5</v>
      </c>
      <c r="BV15" s="7"/>
      <c r="BW15" s="7"/>
      <c r="BX15" s="7"/>
      <c r="BY15" s="7"/>
      <c r="BZ15" s="7"/>
      <c r="CA15" s="7" t="s">
        <v>5</v>
      </c>
      <c r="CB15" s="7" t="s">
        <v>5</v>
      </c>
      <c r="CC15" s="7"/>
      <c r="CD15" s="7"/>
      <c r="CE15" s="7"/>
      <c r="CF15" s="7"/>
      <c r="CG15" s="7"/>
      <c r="CH15" s="7" t="s">
        <v>5</v>
      </c>
      <c r="CI15" s="7" t="s">
        <v>5</v>
      </c>
      <c r="CJ15" s="7"/>
      <c r="CK15" s="7"/>
      <c r="CL15" s="7"/>
      <c r="CM15" s="7"/>
      <c r="CN15" s="7"/>
    </row>
    <row r="16" spans="1:92">
      <c r="A16" s="7" t="s">
        <v>15</v>
      </c>
      <c r="B16" s="7" t="s">
        <v>7</v>
      </c>
      <c r="C16" s="7" t="s">
        <v>25</v>
      </c>
      <c r="D16" s="7" t="s">
        <v>22</v>
      </c>
      <c r="E16" s="7" t="s">
        <v>22</v>
      </c>
      <c r="F16" s="7" t="s">
        <v>22</v>
      </c>
      <c r="G16" s="7" t="s">
        <v>22</v>
      </c>
      <c r="H16" s="7" t="s">
        <v>22</v>
      </c>
      <c r="I16" s="7" t="s">
        <v>5</v>
      </c>
      <c r="J16" s="7" t="s">
        <v>5</v>
      </c>
      <c r="K16" s="7"/>
      <c r="L16" s="7"/>
      <c r="M16" s="7"/>
      <c r="N16" s="7"/>
      <c r="O16" s="7"/>
      <c r="P16" s="7" t="s">
        <v>5</v>
      </c>
      <c r="Q16" s="7" t="s">
        <v>5</v>
      </c>
      <c r="R16" s="7"/>
      <c r="S16" s="7"/>
      <c r="T16" s="7"/>
      <c r="U16" s="7"/>
      <c r="V16" s="7"/>
      <c r="W16" s="7" t="s">
        <v>5</v>
      </c>
      <c r="X16" s="7" t="s">
        <v>5</v>
      </c>
      <c r="Y16" s="7"/>
      <c r="Z16" s="7"/>
      <c r="AA16" s="7"/>
      <c r="AB16" s="7"/>
      <c r="AC16" s="7"/>
      <c r="AD16" s="7" t="s">
        <v>5</v>
      </c>
      <c r="AE16" s="7" t="s">
        <v>5</v>
      </c>
      <c r="AF16" s="7"/>
      <c r="AG16" s="7"/>
      <c r="AH16" s="7"/>
      <c r="AI16" s="7"/>
      <c r="AJ16" s="7"/>
      <c r="AK16" s="7" t="s">
        <v>5</v>
      </c>
      <c r="AL16" s="7" t="s">
        <v>5</v>
      </c>
      <c r="AM16" s="7"/>
      <c r="AN16" s="7"/>
      <c r="AO16" s="7"/>
      <c r="AP16" s="7"/>
      <c r="AQ16" s="7"/>
      <c r="AR16" s="7" t="s">
        <v>5</v>
      </c>
      <c r="AS16" s="7" t="s">
        <v>5</v>
      </c>
      <c r="AT16" s="7"/>
      <c r="AU16" s="7"/>
      <c r="AV16" s="7"/>
      <c r="AW16" s="7"/>
      <c r="AX16" s="7"/>
      <c r="AY16" s="7" t="s">
        <v>5</v>
      </c>
      <c r="AZ16" s="7" t="s">
        <v>5</v>
      </c>
      <c r="BA16" s="7"/>
      <c r="BB16" s="7"/>
      <c r="BC16" s="7"/>
      <c r="BD16" s="7"/>
      <c r="BE16" s="7"/>
      <c r="BF16" s="7" t="s">
        <v>5</v>
      </c>
      <c r="BG16" s="7" t="s">
        <v>5</v>
      </c>
      <c r="BH16" s="7"/>
      <c r="BI16" s="7"/>
      <c r="BJ16" s="7"/>
      <c r="BK16" s="7"/>
      <c r="BL16" s="7"/>
      <c r="BM16" s="7" t="s">
        <v>5</v>
      </c>
      <c r="BN16" s="7" t="s">
        <v>5</v>
      </c>
      <c r="BO16" s="7"/>
      <c r="BP16" s="7"/>
      <c r="BQ16" s="7"/>
      <c r="BR16" s="7"/>
      <c r="BS16" s="7"/>
      <c r="BT16" s="7" t="s">
        <v>5</v>
      </c>
      <c r="BU16" s="7" t="s">
        <v>5</v>
      </c>
      <c r="BV16" s="7"/>
      <c r="BW16" s="7"/>
      <c r="BX16" s="7"/>
      <c r="BY16" s="7"/>
      <c r="BZ16" s="7"/>
      <c r="CA16" s="7" t="s">
        <v>5</v>
      </c>
      <c r="CB16" s="7" t="s">
        <v>5</v>
      </c>
      <c r="CC16" s="7"/>
      <c r="CD16" s="7"/>
      <c r="CE16" s="7"/>
      <c r="CF16" s="7"/>
      <c r="CG16" s="7"/>
      <c r="CH16" s="7" t="s">
        <v>5</v>
      </c>
      <c r="CI16" s="7" t="s">
        <v>5</v>
      </c>
      <c r="CJ16" s="7"/>
      <c r="CK16" s="7"/>
      <c r="CL16" s="7"/>
      <c r="CM16" s="7"/>
      <c r="CN16" s="7"/>
    </row>
    <row r="17" spans="1:92">
      <c r="A17" s="7" t="s">
        <v>15</v>
      </c>
      <c r="B17" s="7" t="s">
        <v>7</v>
      </c>
      <c r="C17" s="7" t="s">
        <v>26</v>
      </c>
      <c r="D17" s="7" t="s">
        <v>27</v>
      </c>
      <c r="E17" s="7" t="s">
        <v>27</v>
      </c>
      <c r="F17" s="7" t="s">
        <v>27</v>
      </c>
      <c r="G17" s="7" t="s">
        <v>27</v>
      </c>
      <c r="H17" s="7" t="s">
        <v>27</v>
      </c>
      <c r="I17" s="7" t="s">
        <v>5</v>
      </c>
      <c r="J17" s="7" t="s">
        <v>5</v>
      </c>
      <c r="K17" s="7"/>
      <c r="L17" s="7"/>
      <c r="M17" s="7"/>
      <c r="N17" s="7"/>
      <c r="O17" s="7"/>
      <c r="P17" s="7" t="s">
        <v>5</v>
      </c>
      <c r="Q17" s="7" t="s">
        <v>5</v>
      </c>
      <c r="R17" s="7"/>
      <c r="S17" s="7"/>
      <c r="T17" s="7"/>
      <c r="U17" s="7"/>
      <c r="V17" s="7"/>
      <c r="W17" s="7" t="s">
        <v>5</v>
      </c>
      <c r="X17" s="7" t="s">
        <v>5</v>
      </c>
      <c r="Y17" s="7"/>
      <c r="Z17" s="7"/>
      <c r="AA17" s="7"/>
      <c r="AB17" s="7"/>
      <c r="AC17" s="7"/>
      <c r="AD17" s="7" t="s">
        <v>5</v>
      </c>
      <c r="AE17" s="7" t="s">
        <v>5</v>
      </c>
      <c r="AF17" s="7"/>
      <c r="AG17" s="7"/>
      <c r="AH17" s="7"/>
      <c r="AI17" s="7"/>
      <c r="AJ17" s="7"/>
      <c r="AK17" s="7" t="s">
        <v>5</v>
      </c>
      <c r="AL17" s="7" t="s">
        <v>5</v>
      </c>
      <c r="AM17" s="7"/>
      <c r="AN17" s="7"/>
      <c r="AO17" s="7"/>
      <c r="AP17" s="7"/>
      <c r="AQ17" s="7"/>
      <c r="AR17" s="7" t="s">
        <v>5</v>
      </c>
      <c r="AS17" s="7" t="s">
        <v>5</v>
      </c>
      <c r="AT17" s="7"/>
      <c r="AU17" s="7"/>
      <c r="AV17" s="7"/>
      <c r="AW17" s="7"/>
      <c r="AX17" s="7"/>
      <c r="AY17" s="7" t="s">
        <v>5</v>
      </c>
      <c r="AZ17" s="7" t="s">
        <v>5</v>
      </c>
      <c r="BA17" s="7"/>
      <c r="BB17" s="7"/>
      <c r="BC17" s="7"/>
      <c r="BD17" s="7"/>
      <c r="BE17" s="7"/>
      <c r="BF17" s="7" t="s">
        <v>5</v>
      </c>
      <c r="BG17" s="7" t="s">
        <v>5</v>
      </c>
      <c r="BH17" s="7"/>
      <c r="BI17" s="7"/>
      <c r="BJ17" s="7"/>
      <c r="BK17" s="7"/>
      <c r="BL17" s="7"/>
      <c r="BM17" s="7" t="s">
        <v>5</v>
      </c>
      <c r="BN17" s="7" t="s">
        <v>5</v>
      </c>
      <c r="BO17" s="7"/>
      <c r="BP17" s="7"/>
      <c r="BQ17" s="7"/>
      <c r="BR17" s="7"/>
      <c r="BS17" s="7"/>
      <c r="BT17" s="7" t="s">
        <v>5</v>
      </c>
      <c r="BU17" s="7" t="s">
        <v>5</v>
      </c>
      <c r="BV17" s="7"/>
      <c r="BW17" s="7"/>
      <c r="BX17" s="7"/>
      <c r="BY17" s="7"/>
      <c r="BZ17" s="7"/>
      <c r="CA17" s="7" t="s">
        <v>5</v>
      </c>
      <c r="CB17" s="7" t="s">
        <v>5</v>
      </c>
      <c r="CC17" s="7"/>
      <c r="CD17" s="7"/>
      <c r="CE17" s="7"/>
      <c r="CF17" s="7"/>
      <c r="CG17" s="7"/>
      <c r="CH17" s="7" t="s">
        <v>5</v>
      </c>
      <c r="CI17" s="7" t="s">
        <v>5</v>
      </c>
      <c r="CJ17" s="7"/>
      <c r="CK17" s="7"/>
      <c r="CL17" s="7"/>
      <c r="CM17" s="7"/>
      <c r="CN17" s="7"/>
    </row>
    <row r="18" spans="1:92">
      <c r="A18" s="7" t="s">
        <v>15</v>
      </c>
      <c r="B18" s="7" t="s">
        <v>7</v>
      </c>
      <c r="C18" s="7" t="s">
        <v>28</v>
      </c>
      <c r="D18" s="7" t="s">
        <v>27</v>
      </c>
      <c r="E18" s="7" t="s">
        <v>27</v>
      </c>
      <c r="F18" s="7" t="s">
        <v>27</v>
      </c>
      <c r="G18" s="7" t="s">
        <v>27</v>
      </c>
      <c r="H18" s="7" t="s">
        <v>27</v>
      </c>
      <c r="I18" s="7" t="s">
        <v>5</v>
      </c>
      <c r="J18" s="7" t="s">
        <v>5</v>
      </c>
      <c r="K18" s="7"/>
      <c r="L18" s="7"/>
      <c r="M18" s="7"/>
      <c r="N18" s="7"/>
      <c r="O18" s="7"/>
      <c r="P18" s="7" t="s">
        <v>5</v>
      </c>
      <c r="Q18" s="7" t="s">
        <v>5</v>
      </c>
      <c r="R18" s="7"/>
      <c r="S18" s="7"/>
      <c r="T18" s="7"/>
      <c r="U18" s="7"/>
      <c r="V18" s="7"/>
      <c r="W18" s="7" t="s">
        <v>5</v>
      </c>
      <c r="X18" s="7" t="s">
        <v>5</v>
      </c>
      <c r="Y18" s="7"/>
      <c r="Z18" s="7"/>
      <c r="AA18" s="7"/>
      <c r="AB18" s="7"/>
      <c r="AC18" s="7"/>
      <c r="AD18" s="7" t="s">
        <v>5</v>
      </c>
      <c r="AE18" s="7" t="s">
        <v>5</v>
      </c>
      <c r="AF18" s="7"/>
      <c r="AG18" s="7"/>
      <c r="AH18" s="7"/>
      <c r="AI18" s="7"/>
      <c r="AJ18" s="7"/>
      <c r="AK18" s="7" t="s">
        <v>5</v>
      </c>
      <c r="AL18" s="7" t="s">
        <v>5</v>
      </c>
      <c r="AM18" s="7"/>
      <c r="AN18" s="7"/>
      <c r="AO18" s="7"/>
      <c r="AP18" s="7"/>
      <c r="AQ18" s="7"/>
      <c r="AR18" s="7" t="s">
        <v>5</v>
      </c>
      <c r="AS18" s="7" t="s">
        <v>5</v>
      </c>
      <c r="AT18" s="7"/>
      <c r="AU18" s="7"/>
      <c r="AV18" s="7"/>
      <c r="AW18" s="7"/>
      <c r="AX18" s="7"/>
      <c r="AY18" s="7" t="s">
        <v>5</v>
      </c>
      <c r="AZ18" s="7" t="s">
        <v>5</v>
      </c>
      <c r="BA18" s="7"/>
      <c r="BB18" s="7"/>
      <c r="BC18" s="7"/>
      <c r="BD18" s="7"/>
      <c r="BE18" s="7"/>
      <c r="BF18" s="7" t="s">
        <v>5</v>
      </c>
      <c r="BG18" s="7" t="s">
        <v>5</v>
      </c>
      <c r="BH18" s="7"/>
      <c r="BI18" s="7"/>
      <c r="BJ18" s="7"/>
      <c r="BK18" s="7"/>
      <c r="BL18" s="7"/>
      <c r="BM18" s="7" t="s">
        <v>5</v>
      </c>
      <c r="BN18" s="7" t="s">
        <v>5</v>
      </c>
      <c r="BO18" s="7"/>
      <c r="BP18" s="7"/>
      <c r="BQ18" s="7"/>
      <c r="BR18" s="7"/>
      <c r="BS18" s="7"/>
      <c r="BT18" s="7" t="s">
        <v>5</v>
      </c>
      <c r="BU18" s="7" t="s">
        <v>5</v>
      </c>
      <c r="BV18" s="7"/>
      <c r="BW18" s="7"/>
      <c r="BX18" s="7"/>
      <c r="BY18" s="7"/>
      <c r="BZ18" s="7"/>
      <c r="CA18" s="7" t="s">
        <v>5</v>
      </c>
      <c r="CB18" s="7" t="s">
        <v>5</v>
      </c>
      <c r="CC18" s="7"/>
      <c r="CD18" s="7"/>
      <c r="CE18" s="7"/>
      <c r="CF18" s="7"/>
      <c r="CG18" s="7"/>
      <c r="CH18" s="7" t="s">
        <v>5</v>
      </c>
      <c r="CI18" s="7" t="s">
        <v>5</v>
      </c>
      <c r="CJ18" s="7"/>
      <c r="CK18" s="7"/>
      <c r="CL18" s="7"/>
      <c r="CM18" s="7"/>
      <c r="CN18" s="7"/>
    </row>
    <row r="19" spans="1:92" hidden="1">
      <c r="A19" s="7" t="s">
        <v>29</v>
      </c>
      <c r="B19" s="7" t="s">
        <v>7</v>
      </c>
      <c r="C19" s="7" t="s">
        <v>30</v>
      </c>
      <c r="D19" s="7"/>
      <c r="E19" s="7"/>
      <c r="F19" s="7"/>
      <c r="G19" s="7"/>
      <c r="H19" s="7"/>
      <c r="I19" s="7" t="s">
        <v>5</v>
      </c>
      <c r="J19" s="7" t="s">
        <v>5</v>
      </c>
      <c r="K19" s="7"/>
      <c r="L19" s="7"/>
      <c r="M19" s="7"/>
      <c r="N19" s="7"/>
      <c r="O19" s="7"/>
      <c r="P19" s="7" t="s">
        <v>5</v>
      </c>
      <c r="Q19" s="7" t="s">
        <v>5</v>
      </c>
      <c r="R19" s="7"/>
      <c r="S19" s="7"/>
      <c r="T19" s="7"/>
      <c r="U19" s="7"/>
      <c r="V19" s="7"/>
      <c r="W19" s="7" t="s">
        <v>5</v>
      </c>
      <c r="X19" s="7" t="s">
        <v>5</v>
      </c>
      <c r="Y19" s="7"/>
      <c r="Z19" s="7"/>
      <c r="AA19" s="7"/>
      <c r="AB19" s="7"/>
      <c r="AC19" s="7"/>
      <c r="AD19" s="7" t="s">
        <v>5</v>
      </c>
      <c r="AE19" s="7" t="s">
        <v>5</v>
      </c>
      <c r="AF19" s="7"/>
      <c r="AG19" s="7"/>
      <c r="AH19" s="7"/>
      <c r="AI19" s="7"/>
      <c r="AJ19" s="7"/>
      <c r="AK19" s="7" t="s">
        <v>5</v>
      </c>
      <c r="AL19" s="7" t="s">
        <v>5</v>
      </c>
      <c r="AM19" s="7"/>
      <c r="AN19" s="7"/>
      <c r="AO19" s="7"/>
      <c r="AP19" s="7"/>
      <c r="AQ19" s="7"/>
      <c r="AR19" s="7" t="s">
        <v>5</v>
      </c>
      <c r="AS19" s="7" t="s">
        <v>5</v>
      </c>
      <c r="AT19" s="7"/>
      <c r="AU19" s="7"/>
      <c r="AV19" s="7"/>
      <c r="AW19" s="7"/>
      <c r="AX19" s="7"/>
      <c r="AY19" s="7" t="s">
        <v>5</v>
      </c>
      <c r="AZ19" s="7" t="s">
        <v>5</v>
      </c>
      <c r="BA19" s="7"/>
      <c r="BB19" s="7"/>
      <c r="BC19" s="7"/>
      <c r="BD19" s="7"/>
      <c r="BE19" s="7"/>
      <c r="BF19" s="7" t="s">
        <v>5</v>
      </c>
      <c r="BG19" s="7" t="s">
        <v>5</v>
      </c>
      <c r="BH19" s="7"/>
      <c r="BI19" s="7"/>
      <c r="BJ19" s="7"/>
      <c r="BK19" s="7"/>
      <c r="BL19" s="7"/>
      <c r="BM19" s="7" t="s">
        <v>5</v>
      </c>
      <c r="BN19" s="7" t="s">
        <v>5</v>
      </c>
      <c r="BO19" s="7"/>
      <c r="BP19" s="7"/>
      <c r="BQ19" s="7"/>
      <c r="BR19" s="7"/>
      <c r="BS19" s="7"/>
      <c r="BT19" s="7" t="s">
        <v>5</v>
      </c>
      <c r="BU19" s="7" t="s">
        <v>5</v>
      </c>
      <c r="BV19" s="7"/>
      <c r="BW19" s="7"/>
      <c r="BX19" s="7"/>
      <c r="BY19" s="7"/>
      <c r="BZ19" s="7"/>
      <c r="CA19" s="7" t="s">
        <v>5</v>
      </c>
      <c r="CB19" s="7" t="s">
        <v>5</v>
      </c>
      <c r="CC19" s="7"/>
      <c r="CD19" s="7"/>
      <c r="CE19" s="7"/>
      <c r="CF19" s="7"/>
      <c r="CG19" s="7"/>
      <c r="CH19" s="7" t="s">
        <v>5</v>
      </c>
      <c r="CI19" s="7" t="s">
        <v>5</v>
      </c>
      <c r="CJ19" s="7"/>
      <c r="CK19" s="7"/>
      <c r="CL19" s="7"/>
      <c r="CM19" s="7"/>
      <c r="CN19" s="7"/>
    </row>
    <row r="20" spans="1:92" hidden="1">
      <c r="A20" s="7" t="s">
        <v>29</v>
      </c>
      <c r="B20" s="7" t="s">
        <v>7</v>
      </c>
      <c r="C20" s="7" t="s">
        <v>31</v>
      </c>
      <c r="D20" s="7"/>
      <c r="E20" s="7"/>
      <c r="F20" s="7"/>
      <c r="G20" s="7"/>
      <c r="H20" s="7"/>
      <c r="I20" s="7" t="s">
        <v>5</v>
      </c>
      <c r="J20" s="7" t="s">
        <v>5</v>
      </c>
      <c r="K20" s="7"/>
      <c r="L20" s="7"/>
      <c r="M20" s="7"/>
      <c r="N20" s="7"/>
      <c r="O20" s="7"/>
      <c r="P20" s="7" t="s">
        <v>5</v>
      </c>
      <c r="Q20" s="7" t="s">
        <v>5</v>
      </c>
      <c r="R20" s="7"/>
      <c r="S20" s="7"/>
      <c r="T20" s="7"/>
      <c r="U20" s="7"/>
      <c r="V20" s="7"/>
      <c r="W20" s="7" t="s">
        <v>5</v>
      </c>
      <c r="X20" s="7" t="s">
        <v>5</v>
      </c>
      <c r="Y20" s="7"/>
      <c r="Z20" s="7"/>
      <c r="AA20" s="7"/>
      <c r="AB20" s="7"/>
      <c r="AC20" s="7"/>
      <c r="AD20" s="7" t="s">
        <v>5</v>
      </c>
      <c r="AE20" s="7" t="s">
        <v>5</v>
      </c>
      <c r="AF20" s="7"/>
      <c r="AG20" s="7"/>
      <c r="AH20" s="7"/>
      <c r="AI20" s="7"/>
      <c r="AJ20" s="7"/>
      <c r="AK20" s="7" t="s">
        <v>5</v>
      </c>
      <c r="AL20" s="7" t="s">
        <v>5</v>
      </c>
      <c r="AM20" s="7"/>
      <c r="AN20" s="7"/>
      <c r="AO20" s="7"/>
      <c r="AP20" s="7"/>
      <c r="AQ20" s="7"/>
      <c r="AR20" s="7" t="s">
        <v>5</v>
      </c>
      <c r="AS20" s="7" t="s">
        <v>5</v>
      </c>
      <c r="AT20" s="7"/>
      <c r="AU20" s="7"/>
      <c r="AV20" s="7"/>
      <c r="AW20" s="7"/>
      <c r="AX20" s="7"/>
      <c r="AY20" s="7" t="s">
        <v>5</v>
      </c>
      <c r="AZ20" s="7" t="s">
        <v>5</v>
      </c>
      <c r="BA20" s="7"/>
      <c r="BB20" s="7"/>
      <c r="BC20" s="7"/>
      <c r="BD20" s="7"/>
      <c r="BE20" s="7"/>
      <c r="BF20" s="7" t="s">
        <v>5</v>
      </c>
      <c r="BG20" s="7" t="s">
        <v>5</v>
      </c>
      <c r="BH20" s="7"/>
      <c r="BI20" s="7"/>
      <c r="BJ20" s="7"/>
      <c r="BK20" s="7"/>
      <c r="BL20" s="7"/>
      <c r="BM20" s="7" t="s">
        <v>5</v>
      </c>
      <c r="BN20" s="7" t="s">
        <v>5</v>
      </c>
      <c r="BO20" s="7"/>
      <c r="BP20" s="7"/>
      <c r="BQ20" s="7"/>
      <c r="BR20" s="7"/>
      <c r="BS20" s="7"/>
      <c r="BT20" s="7" t="s">
        <v>5</v>
      </c>
      <c r="BU20" s="7" t="s">
        <v>5</v>
      </c>
      <c r="BV20" s="7"/>
      <c r="BW20" s="7"/>
      <c r="BX20" s="7"/>
      <c r="BY20" s="7"/>
      <c r="BZ20" s="7"/>
      <c r="CA20" s="7" t="s">
        <v>5</v>
      </c>
      <c r="CB20" s="7" t="s">
        <v>5</v>
      </c>
      <c r="CC20" s="7"/>
      <c r="CD20" s="7"/>
      <c r="CE20" s="7"/>
      <c r="CF20" s="7"/>
      <c r="CG20" s="7"/>
      <c r="CH20" s="7" t="s">
        <v>5</v>
      </c>
      <c r="CI20" s="7" t="s">
        <v>5</v>
      </c>
      <c r="CJ20" s="7"/>
      <c r="CK20" s="7"/>
      <c r="CL20" s="7"/>
      <c r="CM20" s="7"/>
      <c r="CN20" s="7"/>
    </row>
    <row r="21" spans="1:92" hidden="1">
      <c r="A21" s="7" t="s">
        <v>29</v>
      </c>
      <c r="B21" s="7" t="s">
        <v>7</v>
      </c>
      <c r="C21" s="7" t="s">
        <v>32</v>
      </c>
      <c r="D21" s="7"/>
      <c r="E21" s="7"/>
      <c r="F21" s="7"/>
      <c r="G21" s="7"/>
      <c r="H21" s="7"/>
      <c r="I21" s="7" t="s">
        <v>5</v>
      </c>
      <c r="J21" s="7" t="s">
        <v>5</v>
      </c>
      <c r="K21" s="7"/>
      <c r="L21" s="7"/>
      <c r="M21" s="7"/>
      <c r="N21" s="7"/>
      <c r="O21" s="7"/>
      <c r="P21" s="7" t="s">
        <v>5</v>
      </c>
      <c r="Q21" s="7" t="s">
        <v>5</v>
      </c>
      <c r="R21" s="7"/>
      <c r="S21" s="7"/>
      <c r="T21" s="7"/>
      <c r="U21" s="7"/>
      <c r="V21" s="7"/>
      <c r="W21" s="7" t="s">
        <v>5</v>
      </c>
      <c r="X21" s="7" t="s">
        <v>5</v>
      </c>
      <c r="Y21" s="7"/>
      <c r="Z21" s="7"/>
      <c r="AA21" s="7"/>
      <c r="AB21" s="7"/>
      <c r="AC21" s="7"/>
      <c r="AD21" s="7" t="s">
        <v>5</v>
      </c>
      <c r="AE21" s="7" t="s">
        <v>5</v>
      </c>
      <c r="AF21" s="7"/>
      <c r="AG21" s="7"/>
      <c r="AH21" s="7"/>
      <c r="AI21" s="7"/>
      <c r="AJ21" s="7"/>
      <c r="AK21" s="7" t="s">
        <v>5</v>
      </c>
      <c r="AL21" s="7" t="s">
        <v>5</v>
      </c>
      <c r="AM21" s="7"/>
      <c r="AN21" s="7"/>
      <c r="AO21" s="7"/>
      <c r="AP21" s="7"/>
      <c r="AQ21" s="7"/>
      <c r="AR21" s="7" t="s">
        <v>5</v>
      </c>
      <c r="AS21" s="7" t="s">
        <v>5</v>
      </c>
      <c r="AT21" s="7"/>
      <c r="AU21" s="7"/>
      <c r="AV21" s="7"/>
      <c r="AW21" s="7"/>
      <c r="AX21" s="7"/>
      <c r="AY21" s="7" t="s">
        <v>5</v>
      </c>
      <c r="AZ21" s="7" t="s">
        <v>5</v>
      </c>
      <c r="BA21" s="7"/>
      <c r="BB21" s="7"/>
      <c r="BC21" s="7"/>
      <c r="BD21" s="7"/>
      <c r="BE21" s="7"/>
      <c r="BF21" s="7" t="s">
        <v>5</v>
      </c>
      <c r="BG21" s="7" t="s">
        <v>5</v>
      </c>
      <c r="BH21" s="7"/>
      <c r="BI21" s="7"/>
      <c r="BJ21" s="7"/>
      <c r="BK21" s="7"/>
      <c r="BL21" s="7"/>
      <c r="BM21" s="7" t="s">
        <v>5</v>
      </c>
      <c r="BN21" s="7" t="s">
        <v>5</v>
      </c>
      <c r="BO21" s="7"/>
      <c r="BP21" s="7"/>
      <c r="BQ21" s="7"/>
      <c r="BR21" s="7"/>
      <c r="BS21" s="7"/>
      <c r="BT21" s="7" t="s">
        <v>5</v>
      </c>
      <c r="BU21" s="7" t="s">
        <v>5</v>
      </c>
      <c r="BV21" s="7"/>
      <c r="BW21" s="7"/>
      <c r="BX21" s="7"/>
      <c r="BY21" s="7"/>
      <c r="BZ21" s="7"/>
      <c r="CA21" s="7" t="s">
        <v>5</v>
      </c>
      <c r="CB21" s="7" t="s">
        <v>5</v>
      </c>
      <c r="CC21" s="7"/>
      <c r="CD21" s="7"/>
      <c r="CE21" s="7"/>
      <c r="CF21" s="7"/>
      <c r="CG21" s="7"/>
      <c r="CH21" s="7" t="s">
        <v>5</v>
      </c>
      <c r="CI21" s="7" t="s">
        <v>5</v>
      </c>
      <c r="CJ21" s="7"/>
      <c r="CK21" s="7"/>
      <c r="CL21" s="7"/>
      <c r="CM21" s="7"/>
      <c r="CN21" s="7"/>
    </row>
    <row r="22" spans="1:92" hidden="1">
      <c r="A22" s="7" t="s">
        <v>29</v>
      </c>
      <c r="B22" s="7" t="s">
        <v>3</v>
      </c>
      <c r="C22" s="7" t="s">
        <v>33</v>
      </c>
      <c r="D22" s="7"/>
      <c r="E22" s="7"/>
      <c r="F22" s="7"/>
      <c r="G22" s="7"/>
      <c r="H22" s="7"/>
      <c r="I22" s="7" t="s">
        <v>5</v>
      </c>
      <c r="J22" s="7" t="s">
        <v>5</v>
      </c>
      <c r="K22" s="7"/>
      <c r="L22" s="7"/>
      <c r="M22" s="7"/>
      <c r="N22" s="7"/>
      <c r="O22" s="7"/>
      <c r="P22" s="7" t="s">
        <v>5</v>
      </c>
      <c r="Q22" s="7" t="s">
        <v>5</v>
      </c>
      <c r="R22" s="7"/>
      <c r="S22" s="7"/>
      <c r="T22" s="7"/>
      <c r="U22" s="7"/>
      <c r="V22" s="7"/>
      <c r="W22" s="7" t="s">
        <v>5</v>
      </c>
      <c r="X22" s="7" t="s">
        <v>5</v>
      </c>
      <c r="Y22" s="7"/>
      <c r="Z22" s="7"/>
      <c r="AA22" s="7"/>
      <c r="AB22" s="7"/>
      <c r="AC22" s="7"/>
      <c r="AD22" s="7" t="s">
        <v>5</v>
      </c>
      <c r="AE22" s="7" t="s">
        <v>5</v>
      </c>
      <c r="AF22" s="7"/>
      <c r="AG22" s="7"/>
      <c r="AH22" s="7"/>
      <c r="AI22" s="7"/>
      <c r="AJ22" s="7"/>
      <c r="AK22" s="7" t="s">
        <v>5</v>
      </c>
      <c r="AL22" s="7" t="s">
        <v>5</v>
      </c>
      <c r="AM22" s="7"/>
      <c r="AN22" s="7"/>
      <c r="AO22" s="7"/>
      <c r="AP22" s="7"/>
      <c r="AQ22" s="7"/>
      <c r="AR22" s="7" t="s">
        <v>5</v>
      </c>
      <c r="AS22" s="7" t="s">
        <v>5</v>
      </c>
      <c r="AT22" s="7"/>
      <c r="AU22" s="7"/>
      <c r="AV22" s="7"/>
      <c r="AW22" s="7"/>
      <c r="AX22" s="7"/>
      <c r="AY22" s="7" t="s">
        <v>5</v>
      </c>
      <c r="AZ22" s="7" t="s">
        <v>5</v>
      </c>
      <c r="BA22" s="7"/>
      <c r="BB22" s="7"/>
      <c r="BC22" s="7"/>
      <c r="BD22" s="7"/>
      <c r="BE22" s="7"/>
      <c r="BF22" s="7" t="s">
        <v>5</v>
      </c>
      <c r="BG22" s="7" t="s">
        <v>5</v>
      </c>
      <c r="BH22" s="7"/>
      <c r="BI22" s="7"/>
      <c r="BJ22" s="7"/>
      <c r="BK22" s="7"/>
      <c r="BL22" s="7"/>
      <c r="BM22" s="7" t="s">
        <v>5</v>
      </c>
      <c r="BN22" s="7" t="s">
        <v>5</v>
      </c>
      <c r="BO22" s="7"/>
      <c r="BP22" s="7"/>
      <c r="BQ22" s="7"/>
      <c r="BR22" s="7"/>
      <c r="BS22" s="7"/>
      <c r="BT22" s="7" t="s">
        <v>5</v>
      </c>
      <c r="BU22" s="7" t="s">
        <v>5</v>
      </c>
      <c r="BV22" s="7"/>
      <c r="BW22" s="7"/>
      <c r="BX22" s="7"/>
      <c r="BY22" s="7"/>
      <c r="BZ22" s="7"/>
      <c r="CA22" s="7" t="s">
        <v>5</v>
      </c>
      <c r="CB22" s="7" t="s">
        <v>5</v>
      </c>
      <c r="CC22" s="7"/>
      <c r="CD22" s="7"/>
      <c r="CE22" s="7"/>
      <c r="CF22" s="7"/>
      <c r="CG22" s="7"/>
      <c r="CH22" s="7" t="s">
        <v>5</v>
      </c>
      <c r="CI22" s="7" t="s">
        <v>5</v>
      </c>
      <c r="CJ22" s="7"/>
      <c r="CK22" s="7"/>
      <c r="CL22" s="7"/>
      <c r="CM22" s="7"/>
      <c r="CN22" s="7"/>
    </row>
    <row r="23" spans="1:92" hidden="1">
      <c r="A23" s="7" t="s">
        <v>29</v>
      </c>
      <c r="B23" s="7" t="s">
        <v>3</v>
      </c>
      <c r="C23" s="7" t="s">
        <v>34</v>
      </c>
      <c r="D23" s="7"/>
      <c r="E23" s="7"/>
      <c r="F23" s="7"/>
      <c r="G23" s="7"/>
      <c r="H23" s="7"/>
      <c r="I23" s="7" t="s">
        <v>5</v>
      </c>
      <c r="J23" s="7" t="s">
        <v>5</v>
      </c>
      <c r="K23" s="7"/>
      <c r="L23" s="7"/>
      <c r="M23" s="7"/>
      <c r="N23" s="7"/>
      <c r="O23" s="7"/>
      <c r="P23" s="7" t="s">
        <v>5</v>
      </c>
      <c r="Q23" s="7" t="s">
        <v>5</v>
      </c>
      <c r="R23" s="7"/>
      <c r="S23" s="7"/>
      <c r="T23" s="7"/>
      <c r="U23" s="7"/>
      <c r="V23" s="7"/>
      <c r="W23" s="7" t="s">
        <v>5</v>
      </c>
      <c r="X23" s="7" t="s">
        <v>5</v>
      </c>
      <c r="Y23" s="7"/>
      <c r="Z23" s="7"/>
      <c r="AA23" s="7"/>
      <c r="AB23" s="7"/>
      <c r="AC23" s="7"/>
      <c r="AD23" s="7" t="s">
        <v>5</v>
      </c>
      <c r="AE23" s="7" t="s">
        <v>5</v>
      </c>
      <c r="AF23" s="7"/>
      <c r="AG23" s="7"/>
      <c r="AH23" s="7"/>
      <c r="AI23" s="7"/>
      <c r="AJ23" s="7"/>
      <c r="AK23" s="7" t="s">
        <v>5</v>
      </c>
      <c r="AL23" s="7" t="s">
        <v>5</v>
      </c>
      <c r="AM23" s="7"/>
      <c r="AN23" s="7"/>
      <c r="AO23" s="7"/>
      <c r="AP23" s="7"/>
      <c r="AQ23" s="7"/>
      <c r="AR23" s="7" t="s">
        <v>5</v>
      </c>
      <c r="AS23" s="7" t="s">
        <v>5</v>
      </c>
      <c r="AT23" s="7"/>
      <c r="AU23" s="7"/>
      <c r="AV23" s="7"/>
      <c r="AW23" s="7"/>
      <c r="AX23" s="7"/>
      <c r="AY23" s="7" t="s">
        <v>5</v>
      </c>
      <c r="AZ23" s="7" t="s">
        <v>5</v>
      </c>
      <c r="BA23" s="7"/>
      <c r="BB23" s="7"/>
      <c r="BC23" s="7"/>
      <c r="BD23" s="7"/>
      <c r="BE23" s="7"/>
      <c r="BF23" s="7" t="s">
        <v>5</v>
      </c>
      <c r="BG23" s="7" t="s">
        <v>5</v>
      </c>
      <c r="BH23" s="7"/>
      <c r="BI23" s="7"/>
      <c r="BJ23" s="7"/>
      <c r="BK23" s="7"/>
      <c r="BL23" s="7"/>
      <c r="BM23" s="7" t="s">
        <v>5</v>
      </c>
      <c r="BN23" s="7" t="s">
        <v>5</v>
      </c>
      <c r="BO23" s="7"/>
      <c r="BP23" s="7"/>
      <c r="BQ23" s="7"/>
      <c r="BR23" s="7"/>
      <c r="BS23" s="7"/>
      <c r="BT23" s="7" t="s">
        <v>5</v>
      </c>
      <c r="BU23" s="7" t="s">
        <v>5</v>
      </c>
      <c r="BV23" s="7"/>
      <c r="BW23" s="7"/>
      <c r="BX23" s="7"/>
      <c r="BY23" s="7"/>
      <c r="BZ23" s="7"/>
      <c r="CA23" s="7" t="s">
        <v>5</v>
      </c>
      <c r="CB23" s="7" t="s">
        <v>5</v>
      </c>
      <c r="CC23" s="7"/>
      <c r="CD23" s="7"/>
      <c r="CE23" s="7"/>
      <c r="CF23" s="7"/>
      <c r="CG23" s="7"/>
      <c r="CH23" s="7" t="s">
        <v>5</v>
      </c>
      <c r="CI23" s="7" t="s">
        <v>5</v>
      </c>
      <c r="CJ23" s="7"/>
      <c r="CK23" s="7"/>
      <c r="CL23" s="7"/>
      <c r="CM23" s="7"/>
      <c r="CN23" s="7"/>
    </row>
    <row r="24" spans="1:92" hidden="1">
      <c r="A24" s="7" t="s">
        <v>29</v>
      </c>
      <c r="B24" s="7" t="s">
        <v>3</v>
      </c>
      <c r="C24" s="7" t="s">
        <v>35</v>
      </c>
      <c r="D24" s="7"/>
      <c r="E24" s="7"/>
      <c r="F24" s="7"/>
      <c r="G24" s="7"/>
      <c r="H24" s="7"/>
      <c r="I24" s="7" t="s">
        <v>5</v>
      </c>
      <c r="J24" s="7" t="s">
        <v>5</v>
      </c>
      <c r="K24" s="7"/>
      <c r="L24" s="7"/>
      <c r="M24" s="7"/>
      <c r="N24" s="7"/>
      <c r="O24" s="7"/>
      <c r="P24" s="7" t="s">
        <v>5</v>
      </c>
      <c r="Q24" s="7" t="s">
        <v>5</v>
      </c>
      <c r="R24" s="7"/>
      <c r="S24" s="7"/>
      <c r="T24" s="7"/>
      <c r="U24" s="7"/>
      <c r="V24" s="7"/>
      <c r="W24" s="7" t="s">
        <v>5</v>
      </c>
      <c r="X24" s="7" t="s">
        <v>5</v>
      </c>
      <c r="Y24" s="7"/>
      <c r="Z24" s="7"/>
      <c r="AA24" s="7"/>
      <c r="AB24" s="7"/>
      <c r="AC24" s="7"/>
      <c r="AD24" s="7" t="s">
        <v>5</v>
      </c>
      <c r="AE24" s="7" t="s">
        <v>5</v>
      </c>
      <c r="AF24" s="7"/>
      <c r="AG24" s="7"/>
      <c r="AH24" s="7"/>
      <c r="AI24" s="7"/>
      <c r="AJ24" s="7"/>
      <c r="AK24" s="7" t="s">
        <v>5</v>
      </c>
      <c r="AL24" s="7" t="s">
        <v>5</v>
      </c>
      <c r="AM24" s="7"/>
      <c r="AN24" s="7"/>
      <c r="AO24" s="7"/>
      <c r="AP24" s="7"/>
      <c r="AQ24" s="7"/>
      <c r="AR24" s="7" t="s">
        <v>5</v>
      </c>
      <c r="AS24" s="7" t="s">
        <v>5</v>
      </c>
      <c r="AT24" s="7"/>
      <c r="AU24" s="7"/>
      <c r="AV24" s="7"/>
      <c r="AW24" s="7"/>
      <c r="AX24" s="7"/>
      <c r="AY24" s="7" t="s">
        <v>5</v>
      </c>
      <c r="AZ24" s="7" t="s">
        <v>5</v>
      </c>
      <c r="BA24" s="7"/>
      <c r="BB24" s="7"/>
      <c r="BC24" s="7"/>
      <c r="BD24" s="7"/>
      <c r="BE24" s="7"/>
      <c r="BF24" s="7" t="s">
        <v>5</v>
      </c>
      <c r="BG24" s="7" t="s">
        <v>5</v>
      </c>
      <c r="BH24" s="7"/>
      <c r="BI24" s="7"/>
      <c r="BJ24" s="7"/>
      <c r="BK24" s="7"/>
      <c r="BL24" s="7"/>
      <c r="BM24" s="7" t="s">
        <v>5</v>
      </c>
      <c r="BN24" s="7" t="s">
        <v>5</v>
      </c>
      <c r="BO24" s="7"/>
      <c r="BP24" s="7"/>
      <c r="BQ24" s="7"/>
      <c r="BR24" s="7"/>
      <c r="BS24" s="7"/>
      <c r="BT24" s="7" t="s">
        <v>5</v>
      </c>
      <c r="BU24" s="7" t="s">
        <v>5</v>
      </c>
      <c r="BV24" s="7"/>
      <c r="BW24" s="7"/>
      <c r="BX24" s="7"/>
      <c r="BY24" s="7"/>
      <c r="BZ24" s="7"/>
      <c r="CA24" s="7" t="s">
        <v>5</v>
      </c>
      <c r="CB24" s="7" t="s">
        <v>5</v>
      </c>
      <c r="CC24" s="7"/>
      <c r="CD24" s="7"/>
      <c r="CE24" s="7"/>
      <c r="CF24" s="7"/>
      <c r="CG24" s="7"/>
      <c r="CH24" s="7" t="s">
        <v>5</v>
      </c>
      <c r="CI24" s="7" t="s">
        <v>5</v>
      </c>
      <c r="CJ24" s="7"/>
      <c r="CK24" s="7"/>
      <c r="CL24" s="7"/>
      <c r="CM24" s="7"/>
      <c r="CN24" s="7"/>
    </row>
    <row r="25" spans="1:92" hidden="1">
      <c r="A25" s="7" t="s">
        <v>29</v>
      </c>
      <c r="B25" s="7" t="s">
        <v>3</v>
      </c>
      <c r="C25" s="7" t="s">
        <v>36</v>
      </c>
      <c r="D25" s="7"/>
      <c r="E25" s="7"/>
      <c r="F25" s="7"/>
      <c r="G25" s="7"/>
      <c r="H25" s="7"/>
      <c r="I25" s="7" t="s">
        <v>5</v>
      </c>
      <c r="J25" s="7" t="s">
        <v>5</v>
      </c>
      <c r="K25" s="7"/>
      <c r="L25" s="7"/>
      <c r="M25" s="7"/>
      <c r="N25" s="7"/>
      <c r="O25" s="7"/>
      <c r="P25" s="7" t="s">
        <v>5</v>
      </c>
      <c r="Q25" s="7" t="s">
        <v>5</v>
      </c>
      <c r="R25" s="7"/>
      <c r="S25" s="7"/>
      <c r="T25" s="7"/>
      <c r="U25" s="7"/>
      <c r="V25" s="7"/>
      <c r="W25" s="7" t="s">
        <v>5</v>
      </c>
      <c r="X25" s="7" t="s">
        <v>5</v>
      </c>
      <c r="Y25" s="7"/>
      <c r="Z25" s="7"/>
      <c r="AA25" s="7"/>
      <c r="AB25" s="7"/>
      <c r="AC25" s="7"/>
      <c r="AD25" s="7" t="s">
        <v>5</v>
      </c>
      <c r="AE25" s="7" t="s">
        <v>5</v>
      </c>
      <c r="AF25" s="7"/>
      <c r="AG25" s="7"/>
      <c r="AH25" s="7"/>
      <c r="AI25" s="7"/>
      <c r="AJ25" s="7"/>
      <c r="AK25" s="7" t="s">
        <v>5</v>
      </c>
      <c r="AL25" s="7" t="s">
        <v>5</v>
      </c>
      <c r="AM25" s="7"/>
      <c r="AN25" s="7"/>
      <c r="AO25" s="7"/>
      <c r="AP25" s="7"/>
      <c r="AQ25" s="7"/>
      <c r="AR25" s="7" t="s">
        <v>5</v>
      </c>
      <c r="AS25" s="7" t="s">
        <v>5</v>
      </c>
      <c r="AT25" s="7"/>
      <c r="AU25" s="7"/>
      <c r="AV25" s="7"/>
      <c r="AW25" s="7"/>
      <c r="AX25" s="7"/>
      <c r="AY25" s="7" t="s">
        <v>5</v>
      </c>
      <c r="AZ25" s="7" t="s">
        <v>5</v>
      </c>
      <c r="BA25" s="7"/>
      <c r="BB25" s="7"/>
      <c r="BC25" s="7"/>
      <c r="BD25" s="7"/>
      <c r="BE25" s="7"/>
      <c r="BF25" s="7" t="s">
        <v>5</v>
      </c>
      <c r="BG25" s="7" t="s">
        <v>5</v>
      </c>
      <c r="BH25" s="7"/>
      <c r="BI25" s="7"/>
      <c r="BJ25" s="7"/>
      <c r="BK25" s="7"/>
      <c r="BL25" s="7"/>
      <c r="BM25" s="7" t="s">
        <v>5</v>
      </c>
      <c r="BN25" s="7" t="s">
        <v>5</v>
      </c>
      <c r="BO25" s="7"/>
      <c r="BP25" s="7"/>
      <c r="BQ25" s="7"/>
      <c r="BR25" s="7"/>
      <c r="BS25" s="7"/>
      <c r="BT25" s="7" t="s">
        <v>5</v>
      </c>
      <c r="BU25" s="7" t="s">
        <v>5</v>
      </c>
      <c r="BV25" s="7"/>
      <c r="BW25" s="7"/>
      <c r="BX25" s="7"/>
      <c r="BY25" s="7"/>
      <c r="BZ25" s="7"/>
      <c r="CA25" s="7" t="s">
        <v>5</v>
      </c>
      <c r="CB25" s="7" t="s">
        <v>5</v>
      </c>
      <c r="CC25" s="7"/>
      <c r="CD25" s="7"/>
      <c r="CE25" s="7"/>
      <c r="CF25" s="7"/>
      <c r="CG25" s="7"/>
      <c r="CH25" s="7" t="s">
        <v>5</v>
      </c>
      <c r="CI25" s="7" t="s">
        <v>5</v>
      </c>
      <c r="CJ25" s="7"/>
      <c r="CK25" s="7"/>
      <c r="CL25" s="7"/>
      <c r="CM25" s="7"/>
      <c r="CN25" s="7"/>
    </row>
    <row r="26" spans="1:92" hidden="1">
      <c r="A26" s="7" t="s">
        <v>29</v>
      </c>
      <c r="B26" s="7" t="s">
        <v>3</v>
      </c>
      <c r="C26" s="7" t="s">
        <v>37</v>
      </c>
      <c r="D26" s="7"/>
      <c r="E26" s="7"/>
      <c r="F26" s="7"/>
      <c r="G26" s="7"/>
      <c r="H26" s="7"/>
      <c r="I26" s="7" t="s">
        <v>5</v>
      </c>
      <c r="J26" s="7" t="s">
        <v>5</v>
      </c>
      <c r="K26" s="7"/>
      <c r="L26" s="7"/>
      <c r="M26" s="7"/>
      <c r="N26" s="7"/>
      <c r="O26" s="7"/>
      <c r="P26" s="7" t="s">
        <v>5</v>
      </c>
      <c r="Q26" s="7" t="s">
        <v>5</v>
      </c>
      <c r="R26" s="7"/>
      <c r="S26" s="7"/>
      <c r="T26" s="7"/>
      <c r="U26" s="7"/>
      <c r="V26" s="7"/>
      <c r="W26" s="7" t="s">
        <v>5</v>
      </c>
      <c r="X26" s="7" t="s">
        <v>5</v>
      </c>
      <c r="Y26" s="7"/>
      <c r="Z26" s="7"/>
      <c r="AA26" s="7"/>
      <c r="AB26" s="7"/>
      <c r="AC26" s="7"/>
      <c r="AD26" s="7" t="s">
        <v>5</v>
      </c>
      <c r="AE26" s="7" t="s">
        <v>5</v>
      </c>
      <c r="AF26" s="7"/>
      <c r="AG26" s="7"/>
      <c r="AH26" s="7"/>
      <c r="AI26" s="7"/>
      <c r="AJ26" s="7"/>
      <c r="AK26" s="7" t="s">
        <v>5</v>
      </c>
      <c r="AL26" s="7" t="s">
        <v>5</v>
      </c>
      <c r="AM26" s="7"/>
      <c r="AN26" s="7"/>
      <c r="AO26" s="7"/>
      <c r="AP26" s="7"/>
      <c r="AQ26" s="7"/>
      <c r="AR26" s="7" t="s">
        <v>5</v>
      </c>
      <c r="AS26" s="7" t="s">
        <v>5</v>
      </c>
      <c r="AT26" s="7"/>
      <c r="AU26" s="7"/>
      <c r="AV26" s="7"/>
      <c r="AW26" s="7"/>
      <c r="AX26" s="7"/>
      <c r="AY26" s="7" t="s">
        <v>5</v>
      </c>
      <c r="AZ26" s="7" t="s">
        <v>5</v>
      </c>
      <c r="BA26" s="7"/>
      <c r="BB26" s="7"/>
      <c r="BC26" s="7"/>
      <c r="BD26" s="7"/>
      <c r="BE26" s="7"/>
      <c r="BF26" s="7" t="s">
        <v>5</v>
      </c>
      <c r="BG26" s="7" t="s">
        <v>5</v>
      </c>
      <c r="BH26" s="7"/>
      <c r="BI26" s="7"/>
      <c r="BJ26" s="7"/>
      <c r="BK26" s="7"/>
      <c r="BL26" s="7"/>
      <c r="BM26" s="7" t="s">
        <v>5</v>
      </c>
      <c r="BN26" s="7" t="s">
        <v>5</v>
      </c>
      <c r="BO26" s="7"/>
      <c r="BP26" s="7"/>
      <c r="BQ26" s="7"/>
      <c r="BR26" s="7"/>
      <c r="BS26" s="7"/>
      <c r="BT26" s="7" t="s">
        <v>5</v>
      </c>
      <c r="BU26" s="7" t="s">
        <v>5</v>
      </c>
      <c r="BV26" s="7"/>
      <c r="BW26" s="7"/>
      <c r="BX26" s="7"/>
      <c r="BY26" s="7"/>
      <c r="BZ26" s="7"/>
      <c r="CA26" s="7" t="s">
        <v>5</v>
      </c>
      <c r="CB26" s="7" t="s">
        <v>5</v>
      </c>
      <c r="CC26" s="7"/>
      <c r="CD26" s="7"/>
      <c r="CE26" s="7"/>
      <c r="CF26" s="7"/>
      <c r="CG26" s="7"/>
      <c r="CH26" s="7" t="s">
        <v>5</v>
      </c>
      <c r="CI26" s="7" t="s">
        <v>5</v>
      </c>
      <c r="CJ26" s="7"/>
      <c r="CK26" s="7"/>
      <c r="CL26" s="7"/>
      <c r="CM26" s="7"/>
      <c r="CN26" s="7"/>
    </row>
    <row r="27" spans="1:92" hidden="1">
      <c r="A27" s="7" t="s">
        <v>29</v>
      </c>
      <c r="B27" s="7" t="s">
        <v>3</v>
      </c>
      <c r="C27" s="7" t="s">
        <v>38</v>
      </c>
      <c r="D27" s="7"/>
      <c r="E27" s="7"/>
      <c r="F27" s="7"/>
      <c r="G27" s="7"/>
      <c r="H27" s="7"/>
      <c r="I27" s="7" t="s">
        <v>5</v>
      </c>
      <c r="J27" s="7" t="s">
        <v>5</v>
      </c>
      <c r="K27" s="7"/>
      <c r="L27" s="7"/>
      <c r="M27" s="7"/>
      <c r="N27" s="7"/>
      <c r="O27" s="7"/>
      <c r="P27" s="7" t="s">
        <v>5</v>
      </c>
      <c r="Q27" s="7" t="s">
        <v>5</v>
      </c>
      <c r="R27" s="7"/>
      <c r="S27" s="7"/>
      <c r="T27" s="7"/>
      <c r="U27" s="7"/>
      <c r="V27" s="7"/>
      <c r="W27" s="7" t="s">
        <v>5</v>
      </c>
      <c r="X27" s="7" t="s">
        <v>5</v>
      </c>
      <c r="Y27" s="7"/>
      <c r="Z27" s="7"/>
      <c r="AA27" s="7"/>
      <c r="AB27" s="7"/>
      <c r="AC27" s="7"/>
      <c r="AD27" s="7" t="s">
        <v>5</v>
      </c>
      <c r="AE27" s="7" t="s">
        <v>5</v>
      </c>
      <c r="AF27" s="7"/>
      <c r="AG27" s="7"/>
      <c r="AH27" s="7"/>
      <c r="AI27" s="7"/>
      <c r="AJ27" s="7"/>
      <c r="AK27" s="7" t="s">
        <v>5</v>
      </c>
      <c r="AL27" s="7" t="s">
        <v>5</v>
      </c>
      <c r="AM27" s="7"/>
      <c r="AN27" s="7"/>
      <c r="AO27" s="7"/>
      <c r="AP27" s="7"/>
      <c r="AQ27" s="7"/>
      <c r="AR27" s="7" t="s">
        <v>5</v>
      </c>
      <c r="AS27" s="7" t="s">
        <v>5</v>
      </c>
      <c r="AT27" s="7"/>
      <c r="AU27" s="7"/>
      <c r="AV27" s="7"/>
      <c r="AW27" s="7"/>
      <c r="AX27" s="7"/>
      <c r="AY27" s="7" t="s">
        <v>5</v>
      </c>
      <c r="AZ27" s="7" t="s">
        <v>5</v>
      </c>
      <c r="BA27" s="7"/>
      <c r="BB27" s="7"/>
      <c r="BC27" s="7"/>
      <c r="BD27" s="7"/>
      <c r="BE27" s="7"/>
      <c r="BF27" s="7" t="s">
        <v>5</v>
      </c>
      <c r="BG27" s="7" t="s">
        <v>5</v>
      </c>
      <c r="BH27" s="7"/>
      <c r="BI27" s="7"/>
      <c r="BJ27" s="7"/>
      <c r="BK27" s="7"/>
      <c r="BL27" s="7"/>
      <c r="BM27" s="7" t="s">
        <v>5</v>
      </c>
      <c r="BN27" s="7" t="s">
        <v>5</v>
      </c>
      <c r="BO27" s="7"/>
      <c r="BP27" s="7"/>
      <c r="BQ27" s="7"/>
      <c r="BR27" s="7"/>
      <c r="BS27" s="7"/>
      <c r="BT27" s="7" t="s">
        <v>5</v>
      </c>
      <c r="BU27" s="7" t="s">
        <v>5</v>
      </c>
      <c r="BV27" s="7"/>
      <c r="BW27" s="7"/>
      <c r="BX27" s="7"/>
      <c r="BY27" s="7"/>
      <c r="BZ27" s="7"/>
      <c r="CA27" s="7" t="s">
        <v>5</v>
      </c>
      <c r="CB27" s="7" t="s">
        <v>5</v>
      </c>
      <c r="CC27" s="7"/>
      <c r="CD27" s="7"/>
      <c r="CE27" s="7"/>
      <c r="CF27" s="7"/>
      <c r="CG27" s="7"/>
      <c r="CH27" s="7" t="s">
        <v>5</v>
      </c>
      <c r="CI27" s="7" t="s">
        <v>5</v>
      </c>
      <c r="CJ27" s="7"/>
      <c r="CK27" s="7"/>
      <c r="CL27" s="7"/>
      <c r="CM27" s="7"/>
      <c r="CN27" s="7"/>
    </row>
  </sheetData>
  <autoFilter ref="A1:CN27" xr:uid="{AB3DF95B-D9AB-4E89-8686-4E3840EC7CDE}">
    <filterColumn colId="0">
      <filters>
        <filter val="SCM"/>
      </filters>
    </filterColumn>
  </autoFilter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848034-4929-4F7C-9E0B-DE45AE877389}">
          <x14:formula1>
            <xm:f>'Projects List'!$A:$A</xm:f>
          </x14:formula1>
          <xm:sqref>D2:CN27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6AB9-2D86-41AD-A0AD-5E1535B54A2B}">
  <dimension ref="A1:A9"/>
  <sheetViews>
    <sheetView workbookViewId="0"/>
  </sheetViews>
  <sheetFormatPr defaultColWidth="8.875" defaultRowHeight="15.95"/>
  <cols>
    <col min="1" max="1" width="12.5" bestFit="1" customWidth="1"/>
  </cols>
  <sheetData>
    <row r="1" spans="1:1">
      <c r="A1" t="s">
        <v>27</v>
      </c>
    </row>
    <row r="2" spans="1:1">
      <c r="A2" t="s">
        <v>39</v>
      </c>
    </row>
    <row r="3" spans="1:1">
      <c r="A3" t="s">
        <v>40</v>
      </c>
    </row>
    <row r="4" spans="1:1">
      <c r="A4" t="s">
        <v>22</v>
      </c>
    </row>
    <row r="5" spans="1:1">
      <c r="A5" t="s">
        <v>20</v>
      </c>
    </row>
    <row r="6" spans="1:1">
      <c r="A6" t="s">
        <v>18</v>
      </c>
    </row>
    <row r="7" spans="1:1">
      <c r="A7" t="s">
        <v>41</v>
      </c>
    </row>
    <row r="8" spans="1:1">
      <c r="A8" t="s">
        <v>5</v>
      </c>
    </row>
    <row r="9" spans="1:1">
      <c r="A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1110-D292-4764-97C4-9A89E3939536}">
  <dimension ref="D2:F8"/>
  <sheetViews>
    <sheetView workbookViewId="0"/>
  </sheetViews>
  <sheetFormatPr defaultColWidth="8.875" defaultRowHeight="15.95"/>
  <cols>
    <col min="6" max="6" width="52.125" bestFit="1" customWidth="1"/>
  </cols>
  <sheetData>
    <row r="2" spans="4:6">
      <c r="D2" s="3" t="s">
        <v>0</v>
      </c>
      <c r="E2" s="3" t="s">
        <v>1</v>
      </c>
      <c r="F2" s="3" t="s">
        <v>42</v>
      </c>
    </row>
    <row r="3" spans="4:6">
      <c r="D3" s="3" t="s">
        <v>29</v>
      </c>
      <c r="E3" s="3" t="s">
        <v>31</v>
      </c>
      <c r="F3" s="3" t="s">
        <v>43</v>
      </c>
    </row>
    <row r="4" spans="4:6">
      <c r="D4" s="3" t="s">
        <v>29</v>
      </c>
      <c r="E4" s="3" t="s">
        <v>38</v>
      </c>
      <c r="F4" s="3" t="s">
        <v>44</v>
      </c>
    </row>
    <row r="5" spans="4:6">
      <c r="D5" s="3" t="s">
        <v>15</v>
      </c>
      <c r="E5" s="3" t="s">
        <v>25</v>
      </c>
      <c r="F5" s="3" t="s">
        <v>45</v>
      </c>
    </row>
    <row r="6" spans="4:6">
      <c r="D6" s="3" t="s">
        <v>2</v>
      </c>
      <c r="E6" s="3" t="s">
        <v>8</v>
      </c>
      <c r="F6" s="3" t="s">
        <v>46</v>
      </c>
    </row>
    <row r="7" spans="4:6">
      <c r="D7" s="3" t="s">
        <v>2</v>
      </c>
      <c r="E7" s="3" t="s">
        <v>10</v>
      </c>
      <c r="F7" s="3" t="s">
        <v>47</v>
      </c>
    </row>
    <row r="8" spans="4:6">
      <c r="D8" s="3" t="s">
        <v>2</v>
      </c>
      <c r="E8" s="3" t="s">
        <v>11</v>
      </c>
      <c r="F8" s="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6B1-01DD-0440-B48B-A3E3C486527B}">
  <dimension ref="A1:LR22"/>
  <sheetViews>
    <sheetView showGridLines="0" zoomScaleNormal="100" workbookViewId="0">
      <pane xSplit="1" ySplit="2" topLeftCell="JD3" activePane="bottomRight" state="frozen"/>
      <selection pane="bottomRight" activeCell="JJ5" sqref="JJ5"/>
      <selection pane="bottomLeft" activeCell="AG3" sqref="AG3"/>
      <selection pane="topRight" activeCell="AG3" sqref="AG3"/>
    </sheetView>
  </sheetViews>
  <sheetFormatPr defaultColWidth="24" defaultRowHeight="13.5" customHeight="1"/>
  <cols>
    <col min="1" max="1" width="14.875" style="459" bestFit="1" customWidth="1"/>
    <col min="2" max="14" width="24" style="459" customWidth="1"/>
    <col min="15" max="15" width="36" style="459" customWidth="1"/>
    <col min="16" max="112" width="24" style="459" customWidth="1"/>
    <col min="113" max="113" width="24" style="459" bestFit="1" customWidth="1"/>
    <col min="114" max="223" width="24" style="459"/>
    <col min="224" max="224" width="28.5" style="459" customWidth="1"/>
    <col min="225" max="226" width="24" style="459"/>
    <col min="227" max="227" width="23.125" style="459" customWidth="1"/>
    <col min="228" max="242" width="24" style="459"/>
    <col min="243" max="243" width="30.625" style="459" customWidth="1"/>
    <col min="244" max="251" width="24" style="459"/>
    <col min="252" max="252" width="25.75" style="459" customWidth="1"/>
    <col min="253" max="253" width="27.375" style="459" customWidth="1"/>
    <col min="254" max="265" width="24" style="459"/>
    <col min="266" max="266" width="29.125" style="459" customWidth="1"/>
    <col min="267" max="270" width="24" style="459"/>
    <col min="271" max="271" width="24" style="459" bestFit="1" customWidth="1"/>
    <col min="272" max="282" width="24" style="459"/>
    <col min="283" max="283" width="26.125" style="459" customWidth="1"/>
    <col min="284" max="16384" width="24" style="459"/>
  </cols>
  <sheetData>
    <row r="1" spans="1:330" s="463" customFormat="1">
      <c r="A1" s="53" t="s">
        <v>49</v>
      </c>
      <c r="B1" s="54">
        <v>45936</v>
      </c>
      <c r="C1" s="55" t="s">
        <v>49</v>
      </c>
      <c r="D1" s="55" t="s">
        <v>49</v>
      </c>
      <c r="E1" s="55" t="s">
        <v>49</v>
      </c>
      <c r="F1" s="55" t="s">
        <v>49</v>
      </c>
      <c r="G1" s="54">
        <v>45943</v>
      </c>
      <c r="H1" s="55" t="s">
        <v>49</v>
      </c>
      <c r="I1" s="55" t="s">
        <v>49</v>
      </c>
      <c r="J1" s="55" t="s">
        <v>49</v>
      </c>
      <c r="K1" s="55" t="s">
        <v>49</v>
      </c>
      <c r="L1" s="54">
        <v>45950</v>
      </c>
      <c r="M1" s="55" t="s">
        <v>49</v>
      </c>
      <c r="N1" s="55" t="s">
        <v>49</v>
      </c>
      <c r="O1" s="55" t="s">
        <v>49</v>
      </c>
      <c r="P1" s="55" t="s">
        <v>49</v>
      </c>
      <c r="Q1" s="54">
        <v>45957</v>
      </c>
      <c r="R1" s="55" t="s">
        <v>49</v>
      </c>
      <c r="S1" s="55" t="s">
        <v>49</v>
      </c>
      <c r="T1" s="55" t="s">
        <v>49</v>
      </c>
      <c r="U1" s="55" t="s">
        <v>49</v>
      </c>
      <c r="V1" s="54">
        <v>45964</v>
      </c>
      <c r="W1" s="54">
        <v>45971</v>
      </c>
      <c r="X1" s="54">
        <v>45972</v>
      </c>
      <c r="Y1" s="54">
        <v>45973</v>
      </c>
      <c r="Z1" s="54">
        <v>45974</v>
      </c>
      <c r="AA1" s="54">
        <v>45975</v>
      </c>
      <c r="AB1" s="54">
        <v>45978</v>
      </c>
      <c r="AC1" s="54">
        <v>45979</v>
      </c>
      <c r="AD1" s="54">
        <v>45980</v>
      </c>
      <c r="AE1" s="54">
        <v>45981</v>
      </c>
      <c r="AF1" s="54">
        <v>45982</v>
      </c>
      <c r="AG1" s="54">
        <v>45985</v>
      </c>
      <c r="AH1" s="54">
        <v>45986</v>
      </c>
      <c r="AI1" s="54">
        <v>45987</v>
      </c>
      <c r="AJ1" s="54">
        <v>45988</v>
      </c>
      <c r="AK1" s="54">
        <v>45989</v>
      </c>
      <c r="AL1" s="85">
        <v>45992</v>
      </c>
      <c r="AM1" s="54">
        <v>45993</v>
      </c>
      <c r="AN1" s="54">
        <v>45994</v>
      </c>
      <c r="AO1" s="54">
        <v>45995</v>
      </c>
      <c r="AP1" s="54">
        <v>45996</v>
      </c>
      <c r="AQ1" s="85">
        <v>45999</v>
      </c>
      <c r="AR1" s="54">
        <v>46000</v>
      </c>
      <c r="AS1" s="54">
        <v>46001</v>
      </c>
      <c r="AT1" s="54">
        <v>46002</v>
      </c>
      <c r="AU1" s="54">
        <v>46003</v>
      </c>
      <c r="AV1" s="85">
        <v>46006</v>
      </c>
      <c r="AW1" s="54">
        <v>46007</v>
      </c>
      <c r="AX1" s="54">
        <v>46008</v>
      </c>
      <c r="AY1" s="54">
        <v>46009</v>
      </c>
      <c r="AZ1" s="54">
        <v>46010</v>
      </c>
      <c r="BA1" s="85">
        <v>46013</v>
      </c>
      <c r="BB1" s="54">
        <v>46014</v>
      </c>
      <c r="BC1" s="54">
        <v>46015</v>
      </c>
      <c r="BD1" s="54">
        <v>46016</v>
      </c>
      <c r="BE1" s="54">
        <v>46017</v>
      </c>
      <c r="BF1" s="85">
        <v>46020</v>
      </c>
      <c r="BG1" s="54">
        <v>46021</v>
      </c>
      <c r="BH1" s="54">
        <v>46022</v>
      </c>
      <c r="BI1" s="54">
        <v>46023</v>
      </c>
      <c r="BJ1" s="54">
        <v>46024</v>
      </c>
      <c r="BK1" s="85">
        <v>45662</v>
      </c>
      <c r="BL1" s="54">
        <f>+BK1+1</f>
        <v>45663</v>
      </c>
      <c r="BM1" s="54">
        <f>+BL1+1</f>
        <v>45664</v>
      </c>
      <c r="BN1" s="54">
        <f>+BM1+1</f>
        <v>45665</v>
      </c>
      <c r="BO1" s="54">
        <f>+BN1+1</f>
        <v>45666</v>
      </c>
      <c r="BP1" s="85">
        <v>45669</v>
      </c>
      <c r="BQ1" s="54">
        <f>+BP1+1</f>
        <v>45670</v>
      </c>
      <c r="BR1" s="54">
        <f>+BQ1+1</f>
        <v>45671</v>
      </c>
      <c r="BS1" s="54">
        <f>+BR1+1</f>
        <v>45672</v>
      </c>
      <c r="BT1" s="54">
        <f>+BS1+1</f>
        <v>45673</v>
      </c>
      <c r="BU1" s="85">
        <v>45676</v>
      </c>
      <c r="BV1" s="54">
        <f>+BU1+1</f>
        <v>45677</v>
      </c>
      <c r="BW1" s="54">
        <f>+BV1+1</f>
        <v>45678</v>
      </c>
      <c r="BX1" s="54">
        <f>+BW1+1</f>
        <v>45679</v>
      </c>
      <c r="BY1" s="54">
        <f>+BX1+1</f>
        <v>45680</v>
      </c>
      <c r="BZ1" s="85">
        <v>45683</v>
      </c>
      <c r="CA1" s="100">
        <f>+BZ1+1</f>
        <v>45684</v>
      </c>
      <c r="CB1" s="54">
        <f>+CA1+1</f>
        <v>45685</v>
      </c>
      <c r="CC1" s="54">
        <f>+CB1+1</f>
        <v>45686</v>
      </c>
      <c r="CD1" s="54">
        <f>+CC1+1</f>
        <v>45687</v>
      </c>
      <c r="CE1" s="85">
        <v>45690</v>
      </c>
      <c r="CF1" s="54">
        <f>+CE1+1</f>
        <v>45691</v>
      </c>
      <c r="CG1" s="54">
        <f>+CF1+1</f>
        <v>45692</v>
      </c>
      <c r="CH1" s="54">
        <f>+CG1+1</f>
        <v>45693</v>
      </c>
      <c r="CI1" s="54">
        <f>+CH1+1</f>
        <v>45694</v>
      </c>
      <c r="CJ1" s="85">
        <v>45697</v>
      </c>
      <c r="CK1" s="54">
        <f>+CJ1+1</f>
        <v>45698</v>
      </c>
      <c r="CL1" s="54">
        <f>+CK1+1</f>
        <v>45699</v>
      </c>
      <c r="CM1" s="54">
        <f>+CL1+1</f>
        <v>45700</v>
      </c>
      <c r="CN1" s="54">
        <f>+CM1+1</f>
        <v>45701</v>
      </c>
      <c r="CO1" s="460">
        <v>46069</v>
      </c>
      <c r="CP1" s="54">
        <f>+CO1+1</f>
        <v>46070</v>
      </c>
      <c r="CQ1" s="54">
        <f>+CP1+1</f>
        <v>46071</v>
      </c>
      <c r="CR1" s="54">
        <f>+CQ1+1</f>
        <v>46072</v>
      </c>
      <c r="CS1" s="54">
        <f>+CR1+1</f>
        <v>46073</v>
      </c>
      <c r="CT1" s="460">
        <f>WORKDAY(CO1,5)</f>
        <v>46076</v>
      </c>
      <c r="CU1" s="461">
        <f>WORKDAY(CP1,5)</f>
        <v>46077</v>
      </c>
      <c r="CV1" s="461">
        <f>WORKDAY(CQ1,5)</f>
        <v>46078</v>
      </c>
      <c r="CW1" s="461">
        <f>WORKDAY(CR1,5)</f>
        <v>46079</v>
      </c>
      <c r="CX1" s="461">
        <f>WORKDAY(CS1,5)</f>
        <v>46080</v>
      </c>
      <c r="CY1" s="460">
        <f>WORKDAY(CT1,5)</f>
        <v>46083</v>
      </c>
      <c r="CZ1" s="461">
        <f>WORKDAY(CU1,5)</f>
        <v>46084</v>
      </c>
      <c r="DA1" s="461">
        <f>WORKDAY(CV1,5)</f>
        <v>46085</v>
      </c>
      <c r="DB1" s="461">
        <f>WORKDAY(CW1,5)</f>
        <v>46086</v>
      </c>
      <c r="DC1" s="461">
        <f>WORKDAY(CX1,5)</f>
        <v>46087</v>
      </c>
      <c r="DD1" s="460">
        <f>WORKDAY(CY1,5)</f>
        <v>46090</v>
      </c>
      <c r="DE1" s="461">
        <f>WORKDAY(CZ1,5)</f>
        <v>46091</v>
      </c>
      <c r="DF1" s="461">
        <f>WORKDAY(DA1,5)</f>
        <v>46092</v>
      </c>
      <c r="DG1" s="461">
        <f>WORKDAY(DB1,5)</f>
        <v>46093</v>
      </c>
      <c r="DH1" s="461">
        <f>WORKDAY(DC1,5)</f>
        <v>46094</v>
      </c>
      <c r="DI1" s="460">
        <f>WORKDAY(DD1,5)</f>
        <v>46097</v>
      </c>
      <c r="DJ1" s="461">
        <f>WORKDAY(DE1,5)</f>
        <v>46098</v>
      </c>
      <c r="DK1" s="461">
        <f>WORKDAY(DF1,5)</f>
        <v>46099</v>
      </c>
      <c r="DL1" s="461">
        <f>WORKDAY(DG1,5)</f>
        <v>46100</v>
      </c>
      <c r="DM1" s="461">
        <f>WORKDAY(DH1,5)</f>
        <v>46101</v>
      </c>
      <c r="DN1" s="460">
        <f>WORKDAY(DI1,5)</f>
        <v>46104</v>
      </c>
      <c r="DO1" s="461">
        <f>WORKDAY(DJ1,5)</f>
        <v>46105</v>
      </c>
      <c r="DP1" s="461">
        <f>WORKDAY(DK1,5)</f>
        <v>46106</v>
      </c>
      <c r="DQ1" s="461">
        <f>WORKDAY(DL1,5)</f>
        <v>46107</v>
      </c>
      <c r="DR1" s="461">
        <f>WORKDAY(DM1,5)</f>
        <v>46108</v>
      </c>
      <c r="DS1" s="460">
        <f>WORKDAY(DN1,5)</f>
        <v>46111</v>
      </c>
      <c r="DT1" s="461">
        <f>WORKDAY(DO1,5)</f>
        <v>46112</v>
      </c>
      <c r="DU1" s="461">
        <f>WORKDAY(DP1,5)</f>
        <v>46113</v>
      </c>
      <c r="DV1" s="461">
        <f>WORKDAY(DQ1,5)</f>
        <v>46114</v>
      </c>
      <c r="DW1" s="461">
        <f>WORKDAY(DR1,5)</f>
        <v>46115</v>
      </c>
      <c r="DX1" s="460">
        <f>WORKDAY(DS1,5)</f>
        <v>46118</v>
      </c>
      <c r="DY1" s="461">
        <f>WORKDAY(DT1,5)</f>
        <v>46119</v>
      </c>
      <c r="DZ1" s="461">
        <f>WORKDAY(DU1,5)</f>
        <v>46120</v>
      </c>
      <c r="EA1" s="461">
        <f>WORKDAY(DV1,5)</f>
        <v>46121</v>
      </c>
      <c r="EB1" s="461">
        <f>WORKDAY(DW1,5)</f>
        <v>46122</v>
      </c>
      <c r="EC1" s="460">
        <f t="shared" ref="EC1:ED1" si="0">WORKDAY(DX1,5)</f>
        <v>46125</v>
      </c>
      <c r="ED1" s="461">
        <f t="shared" si="0"/>
        <v>46126</v>
      </c>
      <c r="EE1" s="461">
        <f t="shared" ref="EE1" si="1">WORKDAY(DZ1,5)</f>
        <v>46127</v>
      </c>
      <c r="EF1" s="461">
        <f t="shared" ref="EF1:EG1" si="2">WORKDAY(EA1,5)</f>
        <v>46128</v>
      </c>
      <c r="EG1" s="461">
        <f t="shared" si="2"/>
        <v>46129</v>
      </c>
      <c r="EH1" s="460">
        <f t="shared" ref="EH1" si="3">WORKDAY(EC1,5)</f>
        <v>46132</v>
      </c>
      <c r="EI1" s="461">
        <f t="shared" ref="EI1" si="4">WORKDAY(ED1,5)</f>
        <v>46133</v>
      </c>
      <c r="EJ1" s="461">
        <f t="shared" ref="EJ1" si="5">WORKDAY(EE1,5)</f>
        <v>46134</v>
      </c>
      <c r="EK1" s="461">
        <f t="shared" ref="EK1" si="6">WORKDAY(EF1,5)</f>
        <v>46135</v>
      </c>
      <c r="EL1" s="461">
        <f t="shared" ref="EL1" si="7">WORKDAY(EG1,5)</f>
        <v>46136</v>
      </c>
      <c r="EM1" s="460">
        <f t="shared" ref="EM1" si="8">WORKDAY(EH1,5)</f>
        <v>46139</v>
      </c>
      <c r="EN1" s="461">
        <f t="shared" ref="EN1" si="9">WORKDAY(EI1,5)</f>
        <v>46140</v>
      </c>
      <c r="EO1" s="461">
        <f t="shared" ref="EO1" si="10">WORKDAY(EJ1,5)</f>
        <v>46141</v>
      </c>
      <c r="EP1" s="461">
        <f t="shared" ref="EP1" si="11">WORKDAY(EK1,5)</f>
        <v>46142</v>
      </c>
      <c r="EQ1" s="461">
        <f t="shared" ref="EQ1" si="12">WORKDAY(EL1,5)</f>
        <v>46143</v>
      </c>
      <c r="ER1" s="460">
        <f t="shared" ref="ER1" si="13">WORKDAY(EM1,5)</f>
        <v>46146</v>
      </c>
      <c r="ES1" s="461">
        <f t="shared" ref="ES1" si="14">WORKDAY(EN1,5)</f>
        <v>46147</v>
      </c>
      <c r="ET1" s="461">
        <f t="shared" ref="ET1" si="15">WORKDAY(EO1,5)</f>
        <v>46148</v>
      </c>
      <c r="EU1" s="461">
        <f t="shared" ref="EU1" si="16">WORKDAY(EP1,5)</f>
        <v>46149</v>
      </c>
      <c r="EV1" s="461">
        <f t="shared" ref="EV1" si="17">WORKDAY(EQ1,5)</f>
        <v>46150</v>
      </c>
      <c r="EW1" s="460">
        <f t="shared" ref="EW1" si="18">WORKDAY(ER1,5)</f>
        <v>46153</v>
      </c>
      <c r="EX1" s="461">
        <f t="shared" ref="EX1" si="19">WORKDAY(ES1,5)</f>
        <v>46154</v>
      </c>
      <c r="EY1" s="461">
        <f t="shared" ref="EY1" si="20">WORKDAY(ET1,5)</f>
        <v>46155</v>
      </c>
      <c r="EZ1" s="461">
        <f t="shared" ref="EZ1" si="21">WORKDAY(EU1,5)</f>
        <v>46156</v>
      </c>
      <c r="FA1" s="461">
        <f t="shared" ref="FA1" si="22">WORKDAY(EV1,5)</f>
        <v>46157</v>
      </c>
      <c r="FB1" s="460">
        <f t="shared" ref="FB1" si="23">WORKDAY(EW1,5)</f>
        <v>46160</v>
      </c>
      <c r="FC1" s="461">
        <f t="shared" ref="FC1" si="24">WORKDAY(EX1,5)</f>
        <v>46161</v>
      </c>
      <c r="FD1" s="461">
        <f t="shared" ref="FD1" si="25">WORKDAY(EY1,5)</f>
        <v>46162</v>
      </c>
      <c r="FE1" s="461">
        <f t="shared" ref="FE1" si="26">WORKDAY(EZ1,5)</f>
        <v>46163</v>
      </c>
      <c r="FF1" s="461">
        <f t="shared" ref="FF1" si="27">WORKDAY(FA1,5)</f>
        <v>46164</v>
      </c>
      <c r="FG1" s="460">
        <f t="shared" ref="FG1" si="28">WORKDAY(FB1,5)</f>
        <v>46167</v>
      </c>
      <c r="FH1" s="461">
        <f t="shared" ref="FH1" si="29">WORKDAY(FC1,5)</f>
        <v>46168</v>
      </c>
      <c r="FI1" s="461">
        <f t="shared" ref="FI1" si="30">WORKDAY(FD1,5)</f>
        <v>46169</v>
      </c>
      <c r="FJ1" s="461">
        <f t="shared" ref="FJ1" si="31">WORKDAY(FE1,5)</f>
        <v>46170</v>
      </c>
      <c r="FK1" s="461">
        <f t="shared" ref="FK1" si="32">WORKDAY(FF1,5)</f>
        <v>46171</v>
      </c>
      <c r="FL1" s="460">
        <f t="shared" ref="FL1" si="33">WORKDAY(FG1,5)</f>
        <v>46174</v>
      </c>
      <c r="FM1" s="461">
        <f t="shared" ref="FM1" si="34">WORKDAY(FH1,5)</f>
        <v>46175</v>
      </c>
      <c r="FN1" s="461">
        <f t="shared" ref="FN1" si="35">WORKDAY(FI1,5)</f>
        <v>46176</v>
      </c>
      <c r="FO1" s="461">
        <f t="shared" ref="FO1" si="36">WORKDAY(FJ1,5)</f>
        <v>46177</v>
      </c>
      <c r="FP1" s="461">
        <f t="shared" ref="FP1" si="37">WORKDAY(FK1,5)</f>
        <v>46178</v>
      </c>
      <c r="FQ1" s="460">
        <f t="shared" ref="FQ1" si="38">WORKDAY(FL1,5)</f>
        <v>46181</v>
      </c>
      <c r="FR1" s="461">
        <f t="shared" ref="FR1" si="39">WORKDAY(FM1,5)</f>
        <v>46182</v>
      </c>
      <c r="FS1" s="461">
        <f t="shared" ref="FS1" si="40">WORKDAY(FN1,5)</f>
        <v>46183</v>
      </c>
      <c r="FT1" s="461">
        <f t="shared" ref="FT1" si="41">WORKDAY(FO1,5)</f>
        <v>46184</v>
      </c>
      <c r="FU1" s="461">
        <f t="shared" ref="FU1" si="42">WORKDAY(FP1,5)</f>
        <v>46185</v>
      </c>
      <c r="FV1" s="460">
        <f t="shared" ref="FV1" si="43">WORKDAY(FQ1,5)</f>
        <v>46188</v>
      </c>
      <c r="FW1" s="461">
        <f t="shared" ref="FW1" si="44">WORKDAY(FR1,5)</f>
        <v>46189</v>
      </c>
      <c r="FX1" s="461">
        <f t="shared" ref="FX1" si="45">WORKDAY(FS1,5)</f>
        <v>46190</v>
      </c>
      <c r="FY1" s="461">
        <f t="shared" ref="FY1" si="46">WORKDAY(FT1,5)</f>
        <v>46191</v>
      </c>
      <c r="FZ1" s="461">
        <f t="shared" ref="FZ1" si="47">WORKDAY(FU1,5)</f>
        <v>46192</v>
      </c>
      <c r="GA1" s="460">
        <f t="shared" ref="GA1" si="48">WORKDAY(FV1,5)</f>
        <v>46195</v>
      </c>
      <c r="GB1" s="461">
        <f t="shared" ref="GB1" si="49">WORKDAY(FW1,5)</f>
        <v>46196</v>
      </c>
      <c r="GC1" s="461">
        <f t="shared" ref="GC1" si="50">WORKDAY(FX1,5)</f>
        <v>46197</v>
      </c>
      <c r="GD1" s="461">
        <f t="shared" ref="GD1" si="51">WORKDAY(FY1,5)</f>
        <v>46198</v>
      </c>
      <c r="GE1" s="461">
        <f t="shared" ref="GE1" si="52">WORKDAY(FZ1,5)</f>
        <v>46199</v>
      </c>
      <c r="GF1" s="460">
        <f t="shared" ref="GF1" si="53">WORKDAY(GA1,5)</f>
        <v>46202</v>
      </c>
      <c r="GG1" s="461">
        <f t="shared" ref="GG1" si="54">WORKDAY(GB1,5)</f>
        <v>46203</v>
      </c>
      <c r="GH1" s="461">
        <f t="shared" ref="GH1" si="55">WORKDAY(GC1,5)</f>
        <v>46204</v>
      </c>
      <c r="GI1" s="461">
        <f t="shared" ref="GI1" si="56">WORKDAY(GD1,5)</f>
        <v>46205</v>
      </c>
      <c r="GJ1" s="461">
        <f t="shared" ref="GJ1" si="57">WORKDAY(GE1,5)</f>
        <v>46206</v>
      </c>
      <c r="GK1" s="460">
        <f t="shared" ref="GK1" si="58">WORKDAY(GF1,5)</f>
        <v>46209</v>
      </c>
      <c r="GL1" s="461">
        <f t="shared" ref="GL1" si="59">WORKDAY(GG1,5)</f>
        <v>46210</v>
      </c>
      <c r="GM1" s="461">
        <f t="shared" ref="GM1" si="60">WORKDAY(GH1,5)</f>
        <v>46211</v>
      </c>
      <c r="GN1" s="461">
        <f t="shared" ref="GN1" si="61">WORKDAY(GI1,5)</f>
        <v>46212</v>
      </c>
      <c r="GO1" s="461">
        <f t="shared" ref="GO1" si="62">WORKDAY(GJ1,5)</f>
        <v>46213</v>
      </c>
      <c r="GP1" s="460">
        <f t="shared" ref="GP1" si="63">WORKDAY(GK1,5)</f>
        <v>46216</v>
      </c>
      <c r="GQ1" s="461">
        <f t="shared" ref="GQ1" si="64">WORKDAY(GL1,5)</f>
        <v>46217</v>
      </c>
      <c r="GR1" s="461">
        <f t="shared" ref="GR1" si="65">WORKDAY(GM1,5)</f>
        <v>46218</v>
      </c>
      <c r="GS1" s="461">
        <f t="shared" ref="GS1" si="66">WORKDAY(GN1,5)</f>
        <v>46219</v>
      </c>
      <c r="GT1" s="461">
        <f t="shared" ref="GT1" si="67">WORKDAY(GO1,5)</f>
        <v>46220</v>
      </c>
      <c r="GU1" s="460">
        <f t="shared" ref="GU1" si="68">WORKDAY(GP1,5)</f>
        <v>46223</v>
      </c>
      <c r="GV1" s="461">
        <f t="shared" ref="GV1" si="69">WORKDAY(GQ1,5)</f>
        <v>46224</v>
      </c>
      <c r="GW1" s="461">
        <f t="shared" ref="GW1" si="70">WORKDAY(GR1,5)</f>
        <v>46225</v>
      </c>
      <c r="GX1" s="461">
        <f t="shared" ref="GX1" si="71">WORKDAY(GS1,5)</f>
        <v>46226</v>
      </c>
      <c r="GY1" s="461">
        <f t="shared" ref="GY1" si="72">WORKDAY(GT1,5)</f>
        <v>46227</v>
      </c>
      <c r="GZ1" s="460">
        <f t="shared" ref="GZ1" si="73">WORKDAY(GU1,5)</f>
        <v>46230</v>
      </c>
      <c r="HA1" s="461">
        <f t="shared" ref="HA1" si="74">WORKDAY(GV1,5)</f>
        <v>46231</v>
      </c>
      <c r="HB1" s="461">
        <f t="shared" ref="HB1" si="75">WORKDAY(GW1,5)</f>
        <v>46232</v>
      </c>
      <c r="HC1" s="461">
        <f t="shared" ref="HC1" si="76">WORKDAY(GX1,5)</f>
        <v>46233</v>
      </c>
      <c r="HD1" s="461">
        <f t="shared" ref="HD1" si="77">WORKDAY(GY1,5)</f>
        <v>46234</v>
      </c>
      <c r="HE1" s="460">
        <f t="shared" ref="HE1" si="78">WORKDAY(GZ1,5)</f>
        <v>46237</v>
      </c>
      <c r="HF1" s="461">
        <f t="shared" ref="HF1" si="79">WORKDAY(HA1,5)</f>
        <v>46238</v>
      </c>
      <c r="HG1" s="461">
        <f t="shared" ref="HG1" si="80">WORKDAY(HB1,5)</f>
        <v>46239</v>
      </c>
      <c r="HH1" s="461">
        <f t="shared" ref="HH1" si="81">WORKDAY(HC1,5)</f>
        <v>46240</v>
      </c>
      <c r="HI1" s="461">
        <f t="shared" ref="HI1" si="82">WORKDAY(HD1,5)</f>
        <v>46241</v>
      </c>
      <c r="HJ1" s="460">
        <f t="shared" ref="HJ1" si="83">WORKDAY(HE1,5)</f>
        <v>46244</v>
      </c>
      <c r="HK1" s="461">
        <f t="shared" ref="HK1" si="84">WORKDAY(HF1,5)</f>
        <v>46245</v>
      </c>
      <c r="HL1" s="461">
        <f t="shared" ref="HL1" si="85">WORKDAY(HG1,5)</f>
        <v>46246</v>
      </c>
      <c r="HM1" s="461">
        <f t="shared" ref="HM1" si="86">WORKDAY(HH1,5)</f>
        <v>46247</v>
      </c>
      <c r="HN1" s="461">
        <f t="shared" ref="HN1" si="87">WORKDAY(HI1,5)</f>
        <v>46248</v>
      </c>
      <c r="HO1" s="460">
        <f t="shared" ref="HO1" si="88">WORKDAY(HJ1,5)</f>
        <v>46251</v>
      </c>
      <c r="HP1" s="461">
        <f t="shared" ref="HP1" si="89">WORKDAY(HK1,5)</f>
        <v>46252</v>
      </c>
      <c r="HQ1" s="461">
        <f t="shared" ref="HQ1" si="90">WORKDAY(HL1,5)</f>
        <v>46253</v>
      </c>
      <c r="HR1" s="461">
        <f t="shared" ref="HR1" si="91">WORKDAY(HM1,5)</f>
        <v>46254</v>
      </c>
      <c r="HS1" s="461">
        <f t="shared" ref="HS1" si="92">WORKDAY(HN1,5)</f>
        <v>46255</v>
      </c>
      <c r="HT1" s="460">
        <f t="shared" ref="HT1" si="93">WORKDAY(HO1,5)</f>
        <v>46258</v>
      </c>
      <c r="HU1" s="461">
        <f t="shared" ref="HU1" si="94">WORKDAY(HP1,5)</f>
        <v>46259</v>
      </c>
      <c r="HV1" s="461">
        <f t="shared" ref="HV1" si="95">WORKDAY(HQ1,5)</f>
        <v>46260</v>
      </c>
      <c r="HW1" s="461">
        <f t="shared" ref="HW1" si="96">WORKDAY(HR1,5)</f>
        <v>46261</v>
      </c>
      <c r="HX1" s="461">
        <f t="shared" ref="HX1" si="97">WORKDAY(HS1,5)</f>
        <v>46262</v>
      </c>
      <c r="HY1" s="460">
        <f t="shared" ref="HY1" si="98">WORKDAY(HT1,5)</f>
        <v>46265</v>
      </c>
      <c r="HZ1" s="461">
        <f t="shared" ref="HZ1" si="99">WORKDAY(HU1,5)</f>
        <v>46266</v>
      </c>
      <c r="IA1" s="461">
        <f t="shared" ref="IA1" si="100">WORKDAY(HV1,5)</f>
        <v>46267</v>
      </c>
      <c r="IB1" s="461">
        <f t="shared" ref="IB1" si="101">WORKDAY(HW1,5)</f>
        <v>46268</v>
      </c>
      <c r="IC1" s="461">
        <f t="shared" ref="IC1" si="102">WORKDAY(HX1,5)</f>
        <v>46269</v>
      </c>
      <c r="ID1" s="460">
        <f t="shared" ref="ID1" si="103">WORKDAY(HY1,5)</f>
        <v>46272</v>
      </c>
      <c r="IE1" s="461">
        <f t="shared" ref="IE1" si="104">WORKDAY(HZ1,5)</f>
        <v>46273</v>
      </c>
      <c r="IF1" s="461">
        <f t="shared" ref="IF1" si="105">WORKDAY(IA1,5)</f>
        <v>46274</v>
      </c>
      <c r="IG1" s="461">
        <f t="shared" ref="IG1" si="106">WORKDAY(IB1,5)</f>
        <v>46275</v>
      </c>
      <c r="IH1" s="461">
        <f t="shared" ref="IH1" si="107">WORKDAY(IC1,5)</f>
        <v>46276</v>
      </c>
      <c r="II1" s="462">
        <f>WORKDAY(IH1,1)</f>
        <v>46279</v>
      </c>
      <c r="IJ1" s="462">
        <f>WORKDAY(II1,1)</f>
        <v>46280</v>
      </c>
      <c r="IK1" s="462">
        <f>WORKDAY(IJ1,1)</f>
        <v>46281</v>
      </c>
      <c r="IL1" s="462">
        <f>WORKDAY(IK1,1)</f>
        <v>46282</v>
      </c>
      <c r="IM1" s="695">
        <f>WORKDAY(IL1,1)</f>
        <v>46283</v>
      </c>
      <c r="IN1" s="462">
        <f>WORKDAY(IM1,1)</f>
        <v>46286</v>
      </c>
      <c r="IO1" s="462">
        <f>WORKDAY(IN1,1)</f>
        <v>46287</v>
      </c>
      <c r="IP1" s="462">
        <f>WORKDAY(IO1,1)</f>
        <v>46288</v>
      </c>
      <c r="IQ1" s="462">
        <f>WORKDAY(IP1,1)</f>
        <v>46289</v>
      </c>
      <c r="IR1" s="462">
        <f>WORKDAY(IQ1,1)</f>
        <v>46290</v>
      </c>
      <c r="IS1" s="462">
        <f>WORKDAY(IR1,1)</f>
        <v>46293</v>
      </c>
      <c r="IT1" s="462">
        <f>WORKDAY(IS1,1)</f>
        <v>46294</v>
      </c>
      <c r="IU1" s="462">
        <f>WORKDAY(IT1,1)</f>
        <v>46295</v>
      </c>
      <c r="IV1" s="462">
        <f>WORKDAY(IU1,1)</f>
        <v>46296</v>
      </c>
      <c r="IW1" s="462">
        <f>WORKDAY(IV1,1)</f>
        <v>46297</v>
      </c>
      <c r="IX1" s="462">
        <f>WORKDAY(IW1,1)</f>
        <v>46300</v>
      </c>
      <c r="IY1" s="462">
        <f>WORKDAY(IX1,1)</f>
        <v>46301</v>
      </c>
      <c r="IZ1" s="462">
        <f>WORKDAY(IY1,1)</f>
        <v>46302</v>
      </c>
      <c r="JA1" s="462">
        <f>WORKDAY(IZ1,1)</f>
        <v>46303</v>
      </c>
      <c r="JB1" s="462">
        <f>WORKDAY(JA1,1)</f>
        <v>46304</v>
      </c>
      <c r="JC1" s="462">
        <f>WORKDAY(JB1,1)</f>
        <v>46307</v>
      </c>
      <c r="JD1" s="462">
        <f>WORKDAY(JC1,1)</f>
        <v>46308</v>
      </c>
      <c r="JE1" s="462">
        <f>WORKDAY(JD1,1)</f>
        <v>46309</v>
      </c>
      <c r="JF1" s="462">
        <f>WORKDAY(JE1,1)</f>
        <v>46310</v>
      </c>
      <c r="JG1" s="462">
        <f>WORKDAY(JF1,1)</f>
        <v>46311</v>
      </c>
      <c r="JH1" s="462">
        <f>WORKDAY(JG1,1)</f>
        <v>46314</v>
      </c>
      <c r="JI1" s="462">
        <f>WORKDAY(JH1,1)</f>
        <v>46315</v>
      </c>
      <c r="JJ1" s="462">
        <f>WORKDAY(JI1,1)</f>
        <v>46316</v>
      </c>
      <c r="JK1" s="462">
        <f>WORKDAY(JJ1,1)</f>
        <v>46317</v>
      </c>
      <c r="JL1" s="462">
        <f>WORKDAY(JK1,1)</f>
        <v>46318</v>
      </c>
      <c r="JM1" s="462">
        <f>WORKDAY(JL1,1)</f>
        <v>46321</v>
      </c>
      <c r="JN1" s="462">
        <f>WORKDAY(JM1,1)</f>
        <v>46322</v>
      </c>
      <c r="JO1" s="462">
        <f>WORKDAY(JN1,1)</f>
        <v>46323</v>
      </c>
      <c r="JP1" s="462">
        <f>WORKDAY(JO1,1)</f>
        <v>46324</v>
      </c>
      <c r="JQ1" s="462">
        <f>WORKDAY(JP1,1)</f>
        <v>46325</v>
      </c>
      <c r="JR1" s="462">
        <f>WORKDAY(JQ1,1)</f>
        <v>46328</v>
      </c>
      <c r="JS1" s="462">
        <f>WORKDAY(JR1,1)</f>
        <v>46329</v>
      </c>
      <c r="JT1" s="462">
        <f>WORKDAY(JS1,1)</f>
        <v>46330</v>
      </c>
      <c r="JU1" s="462">
        <f>WORKDAY(JT1,1)</f>
        <v>46331</v>
      </c>
      <c r="JV1" s="462">
        <f>WORKDAY(JU1,1)</f>
        <v>46332</v>
      </c>
      <c r="JW1" s="462">
        <f>WORKDAY(JV1,1)</f>
        <v>46335</v>
      </c>
      <c r="JX1" s="462">
        <f>WORKDAY(JW1,1)</f>
        <v>46336</v>
      </c>
      <c r="JY1" s="462">
        <f>WORKDAY(JX1,1)</f>
        <v>46337</v>
      </c>
      <c r="JZ1" s="462">
        <f>WORKDAY(JY1,1)</f>
        <v>46338</v>
      </c>
      <c r="KA1" s="462">
        <f>WORKDAY(JZ1,1)</f>
        <v>46339</v>
      </c>
      <c r="KB1" s="462">
        <f>WORKDAY(KA1,1)</f>
        <v>46342</v>
      </c>
      <c r="KC1" s="462">
        <f>WORKDAY(KB1,1)</f>
        <v>46343</v>
      </c>
      <c r="KD1" s="462">
        <f>WORKDAY(KC1,1)</f>
        <v>46344</v>
      </c>
      <c r="KE1" s="462">
        <f>WORKDAY(KD1,1)</f>
        <v>46345</v>
      </c>
      <c r="KF1" s="462">
        <f>WORKDAY(KE1,1)</f>
        <v>46346</v>
      </c>
      <c r="KG1" s="462">
        <f>WORKDAY(KF1,1)</f>
        <v>46349</v>
      </c>
      <c r="KH1" s="462">
        <f>WORKDAY(KG1,1)</f>
        <v>46350</v>
      </c>
      <c r="KI1" s="462">
        <f>WORKDAY(KH1,1)</f>
        <v>46351</v>
      </c>
      <c r="KJ1" s="462">
        <f>WORKDAY(KI1,1)</f>
        <v>46352</v>
      </c>
      <c r="KK1" s="462">
        <f>WORKDAY(KJ1,1)</f>
        <v>46353</v>
      </c>
      <c r="KL1" s="462">
        <f>WORKDAY(KK1,1)</f>
        <v>46356</v>
      </c>
      <c r="KM1" s="462">
        <f>WORKDAY(KL1,1)</f>
        <v>46357</v>
      </c>
      <c r="KN1" s="462">
        <f>WORKDAY(KM1,1)</f>
        <v>46358</v>
      </c>
      <c r="KO1" s="462">
        <f>WORKDAY(KN1,1)</f>
        <v>46359</v>
      </c>
      <c r="KP1" s="462">
        <f>WORKDAY(KO1,1)</f>
        <v>46360</v>
      </c>
      <c r="KQ1" s="462">
        <f>WORKDAY(KP1,1)</f>
        <v>46363</v>
      </c>
      <c r="KR1" s="462">
        <f>WORKDAY(KQ1,1)</f>
        <v>46364</v>
      </c>
      <c r="KS1" s="462">
        <f>WORKDAY(KR1,1)</f>
        <v>46365</v>
      </c>
      <c r="KT1" s="462">
        <f>WORKDAY(KS1,1)</f>
        <v>46366</v>
      </c>
      <c r="KU1" s="462">
        <f>WORKDAY(KT1,1)</f>
        <v>46367</v>
      </c>
      <c r="KV1" s="462">
        <f>WORKDAY(KU1,1)</f>
        <v>46370</v>
      </c>
      <c r="KW1" s="462">
        <f>WORKDAY(KV1,1)</f>
        <v>46371</v>
      </c>
      <c r="KX1" s="462">
        <f>WORKDAY(KW1,1)</f>
        <v>46372</v>
      </c>
      <c r="KY1" s="462">
        <f>WORKDAY(KX1,1)</f>
        <v>46373</v>
      </c>
      <c r="KZ1" s="462">
        <f>WORKDAY(KY1,1)</f>
        <v>46374</v>
      </c>
      <c r="LA1" s="462">
        <f>WORKDAY(KZ1,1)</f>
        <v>46377</v>
      </c>
      <c r="LB1" s="462">
        <f>WORKDAY(LA1,1)</f>
        <v>46378</v>
      </c>
      <c r="LC1" s="462">
        <f>WORKDAY(LB1,1)</f>
        <v>46379</v>
      </c>
      <c r="LD1" s="462">
        <f>WORKDAY(LC1,1)</f>
        <v>46380</v>
      </c>
      <c r="LE1" s="462">
        <f>WORKDAY(LD1,1)</f>
        <v>46381</v>
      </c>
      <c r="LF1" s="462">
        <f>WORKDAY(LE1,1)</f>
        <v>46384</v>
      </c>
      <c r="LG1" s="462">
        <f>WORKDAY(LF1,1)</f>
        <v>46385</v>
      </c>
      <c r="LH1" s="462">
        <f>WORKDAY(LG1,1)</f>
        <v>46386</v>
      </c>
      <c r="LI1" s="462">
        <f>WORKDAY(LH1,1)</f>
        <v>46387</v>
      </c>
      <c r="LJ1" s="462">
        <f>WORKDAY(LI1,1)</f>
        <v>46388</v>
      </c>
    </row>
    <row r="2" spans="1:330" s="465" customFormat="1">
      <c r="A2" s="33" t="s">
        <v>1</v>
      </c>
      <c r="B2" s="34" t="s">
        <v>50</v>
      </c>
      <c r="C2" s="34" t="s">
        <v>51</v>
      </c>
      <c r="D2" s="34" t="s">
        <v>52</v>
      </c>
      <c r="E2" s="34" t="s">
        <v>53</v>
      </c>
      <c r="F2" s="34" t="s">
        <v>54</v>
      </c>
      <c r="G2" s="34" t="s">
        <v>50</v>
      </c>
      <c r="H2" s="34" t="s">
        <v>51</v>
      </c>
      <c r="I2" s="34" t="s">
        <v>52</v>
      </c>
      <c r="J2" s="34" t="s">
        <v>53</v>
      </c>
      <c r="K2" s="34" t="s">
        <v>54</v>
      </c>
      <c r="L2" s="34" t="s">
        <v>50</v>
      </c>
      <c r="M2" s="34" t="s">
        <v>51</v>
      </c>
      <c r="N2" s="34" t="s">
        <v>52</v>
      </c>
      <c r="O2" s="34" t="s">
        <v>53</v>
      </c>
      <c r="P2" s="34" t="s">
        <v>54</v>
      </c>
      <c r="Q2" s="34" t="s">
        <v>50</v>
      </c>
      <c r="R2" s="34" t="s">
        <v>51</v>
      </c>
      <c r="S2" s="34" t="s">
        <v>52</v>
      </c>
      <c r="T2" s="34" t="s">
        <v>53</v>
      </c>
      <c r="U2" s="34" t="s">
        <v>54</v>
      </c>
      <c r="V2" s="35">
        <v>45968</v>
      </c>
      <c r="W2" s="35" t="s">
        <v>50</v>
      </c>
      <c r="X2" s="35" t="s">
        <v>51</v>
      </c>
      <c r="Y2" s="35" t="s">
        <v>52</v>
      </c>
      <c r="Z2" s="35" t="s">
        <v>53</v>
      </c>
      <c r="AA2" s="35" t="s">
        <v>54</v>
      </c>
      <c r="AB2" s="35" t="s">
        <v>50</v>
      </c>
      <c r="AC2" s="35" t="s">
        <v>51</v>
      </c>
      <c r="AD2" s="35" t="s">
        <v>52</v>
      </c>
      <c r="AE2" s="35" t="s">
        <v>53</v>
      </c>
      <c r="AF2" s="35" t="s">
        <v>54</v>
      </c>
      <c r="AG2" s="35" t="s">
        <v>50</v>
      </c>
      <c r="AH2" s="35" t="s">
        <v>51</v>
      </c>
      <c r="AI2" s="35" t="s">
        <v>52</v>
      </c>
      <c r="AJ2" s="35" t="s">
        <v>53</v>
      </c>
      <c r="AK2" s="35" t="s">
        <v>54</v>
      </c>
      <c r="AL2" s="86" t="s">
        <v>50</v>
      </c>
      <c r="AM2" s="35" t="s">
        <v>51</v>
      </c>
      <c r="AN2" s="35" t="s">
        <v>52</v>
      </c>
      <c r="AO2" s="35" t="s">
        <v>53</v>
      </c>
      <c r="AP2" s="35" t="s">
        <v>54</v>
      </c>
      <c r="AQ2" s="86" t="s">
        <v>50</v>
      </c>
      <c r="AR2" s="35" t="s">
        <v>51</v>
      </c>
      <c r="AS2" s="35" t="s">
        <v>52</v>
      </c>
      <c r="AT2" s="35" t="s">
        <v>53</v>
      </c>
      <c r="AU2" s="35" t="s">
        <v>54</v>
      </c>
      <c r="AV2" s="87" t="s">
        <v>50</v>
      </c>
      <c r="AW2" s="65" t="s">
        <v>51</v>
      </c>
      <c r="AX2" s="65" t="s">
        <v>52</v>
      </c>
      <c r="AY2" s="65" t="s">
        <v>53</v>
      </c>
      <c r="AZ2" s="65" t="s">
        <v>54</v>
      </c>
      <c r="BA2" s="86" t="s">
        <v>50</v>
      </c>
      <c r="BB2" s="35" t="s">
        <v>51</v>
      </c>
      <c r="BC2" s="35" t="s">
        <v>52</v>
      </c>
      <c r="BD2" s="35" t="s">
        <v>53</v>
      </c>
      <c r="BE2" s="35" t="s">
        <v>54</v>
      </c>
      <c r="BF2" s="86" t="s">
        <v>50</v>
      </c>
      <c r="BG2" s="35" t="s">
        <v>51</v>
      </c>
      <c r="BH2" s="35" t="s">
        <v>52</v>
      </c>
      <c r="BI2" s="35" t="s">
        <v>53</v>
      </c>
      <c r="BJ2" s="35" t="s">
        <v>54</v>
      </c>
      <c r="BK2" s="86" t="s">
        <v>50</v>
      </c>
      <c r="BL2" s="35" t="s">
        <v>51</v>
      </c>
      <c r="BM2" s="35" t="s">
        <v>52</v>
      </c>
      <c r="BN2" s="35" t="s">
        <v>53</v>
      </c>
      <c r="BO2" s="35" t="s">
        <v>54</v>
      </c>
      <c r="BP2" s="86" t="s">
        <v>50</v>
      </c>
      <c r="BQ2" s="35" t="s">
        <v>51</v>
      </c>
      <c r="BR2" s="35" t="s">
        <v>52</v>
      </c>
      <c r="BS2" s="35" t="s">
        <v>53</v>
      </c>
      <c r="BT2" s="35" t="s">
        <v>54</v>
      </c>
      <c r="BU2" s="86" t="s">
        <v>50</v>
      </c>
      <c r="BV2" s="35" t="s">
        <v>51</v>
      </c>
      <c r="BW2" s="35" t="s">
        <v>52</v>
      </c>
      <c r="BX2" s="35" t="s">
        <v>53</v>
      </c>
      <c r="BY2" s="35" t="s">
        <v>54</v>
      </c>
      <c r="BZ2" s="86" t="s">
        <v>50</v>
      </c>
      <c r="CA2" s="101" t="s">
        <v>51</v>
      </c>
      <c r="CB2" s="35" t="s">
        <v>52</v>
      </c>
      <c r="CC2" s="35" t="s">
        <v>53</v>
      </c>
      <c r="CD2" s="35" t="s">
        <v>54</v>
      </c>
      <c r="CE2" s="87" t="s">
        <v>50</v>
      </c>
      <c r="CF2" s="65" t="s">
        <v>51</v>
      </c>
      <c r="CG2" s="65" t="s">
        <v>52</v>
      </c>
      <c r="CH2" s="65" t="s">
        <v>53</v>
      </c>
      <c r="CI2" s="65" t="s">
        <v>54</v>
      </c>
      <c r="CJ2" s="86" t="s">
        <v>50</v>
      </c>
      <c r="CK2" s="35" t="s">
        <v>51</v>
      </c>
      <c r="CL2" s="35" t="s">
        <v>52</v>
      </c>
      <c r="CM2" s="35" t="s">
        <v>53</v>
      </c>
      <c r="CN2" s="35" t="s">
        <v>54</v>
      </c>
      <c r="CO2" s="87" t="s">
        <v>50</v>
      </c>
      <c r="CP2" s="65" t="s">
        <v>51</v>
      </c>
      <c r="CQ2" s="65" t="s">
        <v>52</v>
      </c>
      <c r="CR2" s="65" t="s">
        <v>53</v>
      </c>
      <c r="CS2" s="65" t="s">
        <v>54</v>
      </c>
      <c r="CT2" s="87" t="s">
        <v>50</v>
      </c>
      <c r="CU2" s="65" t="s">
        <v>51</v>
      </c>
      <c r="CV2" s="65" t="s">
        <v>52</v>
      </c>
      <c r="CW2" s="65" t="s">
        <v>53</v>
      </c>
      <c r="CX2" s="65" t="s">
        <v>54</v>
      </c>
      <c r="CY2" s="87" t="s">
        <v>50</v>
      </c>
      <c r="CZ2" s="65" t="s">
        <v>51</v>
      </c>
      <c r="DA2" s="65" t="s">
        <v>52</v>
      </c>
      <c r="DB2" s="65" t="s">
        <v>53</v>
      </c>
      <c r="DC2" s="65" t="s">
        <v>54</v>
      </c>
      <c r="DD2" s="87" t="s">
        <v>50</v>
      </c>
      <c r="DE2" s="65" t="s">
        <v>51</v>
      </c>
      <c r="DF2" s="65" t="s">
        <v>52</v>
      </c>
      <c r="DG2" s="65" t="s">
        <v>53</v>
      </c>
      <c r="DH2" s="65" t="s">
        <v>54</v>
      </c>
      <c r="DI2" s="87" t="s">
        <v>50</v>
      </c>
      <c r="DJ2" s="65" t="s">
        <v>51</v>
      </c>
      <c r="DK2" s="65" t="s">
        <v>52</v>
      </c>
      <c r="DL2" s="65" t="s">
        <v>53</v>
      </c>
      <c r="DM2" s="65" t="s">
        <v>54</v>
      </c>
      <c r="DN2" s="87" t="s">
        <v>50</v>
      </c>
      <c r="DO2" s="65" t="s">
        <v>51</v>
      </c>
      <c r="DP2" s="65" t="s">
        <v>52</v>
      </c>
      <c r="DQ2" s="65" t="s">
        <v>53</v>
      </c>
      <c r="DR2" s="65" t="s">
        <v>54</v>
      </c>
      <c r="DS2" s="87" t="s">
        <v>50</v>
      </c>
      <c r="DT2" s="65" t="s">
        <v>51</v>
      </c>
      <c r="DU2" s="65" t="s">
        <v>52</v>
      </c>
      <c r="DV2" s="65" t="s">
        <v>53</v>
      </c>
      <c r="DW2" s="65" t="s">
        <v>54</v>
      </c>
      <c r="DX2" s="87" t="s">
        <v>55</v>
      </c>
      <c r="DY2" s="65" t="s">
        <v>56</v>
      </c>
      <c r="DZ2" s="65" t="s">
        <v>57</v>
      </c>
      <c r="EA2" s="65" t="s">
        <v>58</v>
      </c>
      <c r="EB2" s="65" t="s">
        <v>59</v>
      </c>
      <c r="EC2" s="87" t="s">
        <v>60</v>
      </c>
      <c r="ED2" s="65" t="s">
        <v>61</v>
      </c>
      <c r="EE2" s="65" t="s">
        <v>62</v>
      </c>
      <c r="EF2" s="65" t="s">
        <v>63</v>
      </c>
      <c r="EG2" s="65" t="s">
        <v>59</v>
      </c>
      <c r="EH2" s="87" t="s">
        <v>60</v>
      </c>
      <c r="EI2" s="65" t="s">
        <v>61</v>
      </c>
      <c r="EJ2" s="65" t="s">
        <v>62</v>
      </c>
      <c r="EK2" s="65" t="s">
        <v>63</v>
      </c>
      <c r="EL2" s="65" t="s">
        <v>59</v>
      </c>
      <c r="EM2" s="87" t="s">
        <v>50</v>
      </c>
      <c r="EN2" s="65" t="s">
        <v>51</v>
      </c>
      <c r="EO2" s="65" t="s">
        <v>52</v>
      </c>
      <c r="EP2" s="65" t="s">
        <v>53</v>
      </c>
      <c r="EQ2" s="65" t="s">
        <v>54</v>
      </c>
      <c r="ER2" s="87" t="s">
        <v>50</v>
      </c>
      <c r="ES2" s="65" t="s">
        <v>51</v>
      </c>
      <c r="ET2" s="65" t="s">
        <v>52</v>
      </c>
      <c r="EU2" s="65" t="s">
        <v>53</v>
      </c>
      <c r="EV2" s="65" t="s">
        <v>54</v>
      </c>
      <c r="EW2" s="87" t="s">
        <v>50</v>
      </c>
      <c r="EX2" s="65" t="s">
        <v>51</v>
      </c>
      <c r="EY2" s="65" t="s">
        <v>52</v>
      </c>
      <c r="EZ2" s="65" t="s">
        <v>53</v>
      </c>
      <c r="FA2" s="65" t="s">
        <v>54</v>
      </c>
      <c r="FB2" s="87" t="s">
        <v>50</v>
      </c>
      <c r="FC2" s="65" t="s">
        <v>51</v>
      </c>
      <c r="FD2" s="65" t="s">
        <v>52</v>
      </c>
      <c r="FE2" s="65" t="s">
        <v>53</v>
      </c>
      <c r="FF2" s="65" t="s">
        <v>54</v>
      </c>
      <c r="FG2" s="87" t="s">
        <v>50</v>
      </c>
      <c r="FH2" s="65" t="s">
        <v>51</v>
      </c>
      <c r="FI2" s="65" t="s">
        <v>52</v>
      </c>
      <c r="FJ2" s="65" t="s">
        <v>53</v>
      </c>
      <c r="FK2" s="65" t="s">
        <v>54</v>
      </c>
      <c r="FL2" s="87" t="s">
        <v>50</v>
      </c>
      <c r="FM2" s="65" t="s">
        <v>51</v>
      </c>
      <c r="FN2" s="65" t="s">
        <v>52</v>
      </c>
      <c r="FO2" s="65" t="s">
        <v>53</v>
      </c>
      <c r="FP2" s="65" t="s">
        <v>54</v>
      </c>
      <c r="FQ2" s="87" t="s">
        <v>50</v>
      </c>
      <c r="FR2" s="65" t="s">
        <v>51</v>
      </c>
      <c r="FS2" s="65" t="s">
        <v>52</v>
      </c>
      <c r="FT2" s="65" t="s">
        <v>53</v>
      </c>
      <c r="FU2" s="65" t="s">
        <v>54</v>
      </c>
      <c r="FV2" s="87" t="s">
        <v>50</v>
      </c>
      <c r="FW2" s="65" t="s">
        <v>51</v>
      </c>
      <c r="FX2" s="65" t="s">
        <v>52</v>
      </c>
      <c r="FY2" s="65" t="s">
        <v>53</v>
      </c>
      <c r="FZ2" s="65" t="s">
        <v>54</v>
      </c>
      <c r="GA2" s="87" t="s">
        <v>50</v>
      </c>
      <c r="GB2" s="65" t="s">
        <v>51</v>
      </c>
      <c r="GC2" s="65" t="s">
        <v>52</v>
      </c>
      <c r="GD2" s="65" t="s">
        <v>53</v>
      </c>
      <c r="GE2" s="65" t="s">
        <v>54</v>
      </c>
      <c r="GF2" s="87" t="s">
        <v>50</v>
      </c>
      <c r="GG2" s="65" t="s">
        <v>51</v>
      </c>
      <c r="GH2" s="65" t="s">
        <v>52</v>
      </c>
      <c r="GI2" s="65" t="s">
        <v>53</v>
      </c>
      <c r="GJ2" s="65" t="s">
        <v>54</v>
      </c>
      <c r="GK2" s="87" t="s">
        <v>50</v>
      </c>
      <c r="GL2" s="65" t="s">
        <v>51</v>
      </c>
      <c r="GM2" s="65" t="s">
        <v>52</v>
      </c>
      <c r="GN2" s="65" t="s">
        <v>53</v>
      </c>
      <c r="GO2" s="65" t="s">
        <v>54</v>
      </c>
      <c r="GP2" s="87" t="s">
        <v>50</v>
      </c>
      <c r="GQ2" s="65" t="s">
        <v>51</v>
      </c>
      <c r="GR2" s="65" t="s">
        <v>52</v>
      </c>
      <c r="GS2" s="65" t="s">
        <v>53</v>
      </c>
      <c r="GT2" s="65" t="s">
        <v>54</v>
      </c>
      <c r="GU2" s="87" t="s">
        <v>50</v>
      </c>
      <c r="GV2" s="65" t="s">
        <v>51</v>
      </c>
      <c r="GW2" s="65" t="s">
        <v>52</v>
      </c>
      <c r="GX2" s="65" t="s">
        <v>53</v>
      </c>
      <c r="GY2" s="65" t="s">
        <v>54</v>
      </c>
      <c r="GZ2" s="87" t="s">
        <v>50</v>
      </c>
      <c r="HA2" s="65" t="s">
        <v>51</v>
      </c>
      <c r="HB2" s="65" t="s">
        <v>52</v>
      </c>
      <c r="HC2" s="65" t="s">
        <v>53</v>
      </c>
      <c r="HD2" s="65" t="s">
        <v>54</v>
      </c>
      <c r="HE2" s="87" t="s">
        <v>50</v>
      </c>
      <c r="HF2" s="65" t="s">
        <v>51</v>
      </c>
      <c r="HG2" s="65" t="s">
        <v>52</v>
      </c>
      <c r="HH2" s="65" t="s">
        <v>53</v>
      </c>
      <c r="HI2" s="65" t="s">
        <v>54</v>
      </c>
      <c r="HJ2" s="87" t="s">
        <v>50</v>
      </c>
      <c r="HK2" s="65" t="s">
        <v>51</v>
      </c>
      <c r="HL2" s="65" t="s">
        <v>52</v>
      </c>
      <c r="HM2" s="65" t="s">
        <v>53</v>
      </c>
      <c r="HN2" s="65" t="s">
        <v>54</v>
      </c>
      <c r="HO2" s="87" t="s">
        <v>50</v>
      </c>
      <c r="HP2" s="65" t="s">
        <v>51</v>
      </c>
      <c r="HQ2" s="65" t="s">
        <v>52</v>
      </c>
      <c r="HR2" s="65" t="s">
        <v>53</v>
      </c>
      <c r="HS2" s="65" t="s">
        <v>54</v>
      </c>
      <c r="HT2" s="87" t="s">
        <v>50</v>
      </c>
      <c r="HU2" s="65" t="s">
        <v>51</v>
      </c>
      <c r="HV2" s="65" t="s">
        <v>52</v>
      </c>
      <c r="HW2" s="65" t="s">
        <v>53</v>
      </c>
      <c r="HX2" s="65" t="s">
        <v>54</v>
      </c>
      <c r="HY2" s="87" t="s">
        <v>50</v>
      </c>
      <c r="HZ2" s="65" t="s">
        <v>51</v>
      </c>
      <c r="IA2" s="65" t="s">
        <v>52</v>
      </c>
      <c r="IB2" s="65" t="s">
        <v>53</v>
      </c>
      <c r="IC2" s="65" t="s">
        <v>54</v>
      </c>
      <c r="ID2" s="87" t="s">
        <v>50</v>
      </c>
      <c r="IE2" s="65" t="s">
        <v>51</v>
      </c>
      <c r="IF2" s="65" t="s">
        <v>52</v>
      </c>
      <c r="IG2" s="65" t="s">
        <v>53</v>
      </c>
      <c r="IH2" s="65" t="s">
        <v>54</v>
      </c>
      <c r="II2" s="464" t="s">
        <v>50</v>
      </c>
      <c r="IJ2" s="464" t="s">
        <v>51</v>
      </c>
      <c r="IK2" s="464" t="s">
        <v>52</v>
      </c>
      <c r="IL2" s="464" t="s">
        <v>53</v>
      </c>
      <c r="IM2" s="464" t="s">
        <v>54</v>
      </c>
      <c r="IN2" s="464" t="s">
        <v>50</v>
      </c>
      <c r="IO2" s="464" t="s">
        <v>51</v>
      </c>
      <c r="IP2" s="464" t="s">
        <v>52</v>
      </c>
      <c r="IQ2" s="464" t="s">
        <v>53</v>
      </c>
      <c r="IR2" s="464" t="s">
        <v>54</v>
      </c>
      <c r="IS2" s="464" t="s">
        <v>50</v>
      </c>
      <c r="IT2" s="464" t="s">
        <v>51</v>
      </c>
      <c r="IU2" s="464" t="s">
        <v>52</v>
      </c>
      <c r="IV2" s="464" t="s">
        <v>53</v>
      </c>
      <c r="IW2" s="464" t="s">
        <v>54</v>
      </c>
      <c r="IX2" s="464" t="s">
        <v>50</v>
      </c>
      <c r="IY2" s="464" t="s">
        <v>51</v>
      </c>
      <c r="IZ2" s="464" t="s">
        <v>52</v>
      </c>
      <c r="JA2" s="464" t="s">
        <v>53</v>
      </c>
      <c r="JB2" s="464" t="s">
        <v>54</v>
      </c>
      <c r="JC2" s="464" t="s">
        <v>50</v>
      </c>
      <c r="JD2" s="464" t="s">
        <v>51</v>
      </c>
      <c r="JE2" s="464" t="s">
        <v>52</v>
      </c>
      <c r="JF2" s="464" t="s">
        <v>53</v>
      </c>
      <c r="JG2" s="464" t="s">
        <v>54</v>
      </c>
      <c r="JH2" s="464" t="s">
        <v>50</v>
      </c>
      <c r="JI2" s="464" t="s">
        <v>51</v>
      </c>
      <c r="JJ2" s="464" t="s">
        <v>52</v>
      </c>
      <c r="JK2" s="464" t="s">
        <v>53</v>
      </c>
      <c r="JL2" s="464" t="s">
        <v>54</v>
      </c>
      <c r="JM2" s="464" t="s">
        <v>50</v>
      </c>
      <c r="JN2" s="464" t="s">
        <v>51</v>
      </c>
      <c r="JO2" s="464" t="s">
        <v>52</v>
      </c>
      <c r="JP2" s="464" t="s">
        <v>53</v>
      </c>
      <c r="JQ2" s="464" t="s">
        <v>54</v>
      </c>
      <c r="JR2" s="464" t="s">
        <v>50</v>
      </c>
      <c r="JS2" s="464" t="s">
        <v>51</v>
      </c>
      <c r="JT2" s="464" t="s">
        <v>52</v>
      </c>
      <c r="JU2" s="464" t="s">
        <v>53</v>
      </c>
      <c r="JV2" s="464" t="s">
        <v>54</v>
      </c>
      <c r="JW2" s="464" t="s">
        <v>50</v>
      </c>
      <c r="JX2" s="464" t="s">
        <v>51</v>
      </c>
      <c r="JY2" s="464" t="s">
        <v>52</v>
      </c>
      <c r="JZ2" s="464" t="s">
        <v>53</v>
      </c>
      <c r="KA2" s="464" t="s">
        <v>54</v>
      </c>
      <c r="KB2" s="464" t="s">
        <v>50</v>
      </c>
      <c r="KC2" s="464" t="s">
        <v>51</v>
      </c>
      <c r="KD2" s="464" t="s">
        <v>52</v>
      </c>
      <c r="KE2" s="464" t="s">
        <v>53</v>
      </c>
      <c r="KF2" s="464" t="s">
        <v>54</v>
      </c>
      <c r="KG2" s="464" t="s">
        <v>50</v>
      </c>
      <c r="KH2" s="464" t="s">
        <v>51</v>
      </c>
      <c r="KI2" s="464" t="s">
        <v>52</v>
      </c>
      <c r="KJ2" s="464" t="s">
        <v>53</v>
      </c>
      <c r="KK2" s="464" t="s">
        <v>54</v>
      </c>
      <c r="KL2" s="464" t="s">
        <v>50</v>
      </c>
      <c r="KM2" s="464" t="s">
        <v>51</v>
      </c>
      <c r="KN2" s="464" t="s">
        <v>52</v>
      </c>
      <c r="KO2" s="464" t="s">
        <v>53</v>
      </c>
      <c r="KP2" s="464" t="s">
        <v>54</v>
      </c>
      <c r="KQ2" s="464" t="s">
        <v>50</v>
      </c>
      <c r="KR2" s="464" t="s">
        <v>51</v>
      </c>
      <c r="KS2" s="464" t="s">
        <v>52</v>
      </c>
      <c r="KT2" s="464" t="s">
        <v>53</v>
      </c>
      <c r="KU2" s="464" t="s">
        <v>54</v>
      </c>
      <c r="KV2" s="464" t="s">
        <v>50</v>
      </c>
      <c r="KW2" s="464" t="s">
        <v>51</v>
      </c>
      <c r="KX2" s="464" t="s">
        <v>52</v>
      </c>
      <c r="KY2" s="464" t="s">
        <v>53</v>
      </c>
      <c r="KZ2" s="464" t="s">
        <v>54</v>
      </c>
      <c r="LA2" s="464" t="s">
        <v>50</v>
      </c>
      <c r="LB2" s="464" t="s">
        <v>51</v>
      </c>
      <c r="LC2" s="464" t="s">
        <v>52</v>
      </c>
      <c r="LD2" s="464" t="s">
        <v>53</v>
      </c>
      <c r="LE2" s="464" t="s">
        <v>54</v>
      </c>
      <c r="LF2" s="464" t="s">
        <v>50</v>
      </c>
      <c r="LG2" s="464" t="s">
        <v>51</v>
      </c>
      <c r="LH2" s="464" t="s">
        <v>52</v>
      </c>
      <c r="LI2" s="464" t="s">
        <v>53</v>
      </c>
      <c r="LJ2" s="464" t="s">
        <v>54</v>
      </c>
    </row>
    <row r="3" spans="1:330" ht="88.5" customHeight="1">
      <c r="A3" s="404" t="s">
        <v>4</v>
      </c>
      <c r="B3" s="405" t="s">
        <v>64</v>
      </c>
      <c r="C3" s="405" t="s">
        <v>65</v>
      </c>
      <c r="D3" s="405" t="s">
        <v>66</v>
      </c>
      <c r="E3" s="405" t="s">
        <v>67</v>
      </c>
      <c r="F3" s="466" t="s">
        <v>68</v>
      </c>
      <c r="G3" s="405" t="s">
        <v>69</v>
      </c>
      <c r="H3" s="405" t="s">
        <v>69</v>
      </c>
      <c r="I3" s="405" t="s">
        <v>69</v>
      </c>
      <c r="J3" s="405" t="s">
        <v>69</v>
      </c>
      <c r="K3" s="405" t="s">
        <v>70</v>
      </c>
      <c r="L3" s="405" t="s">
        <v>71</v>
      </c>
      <c r="M3" s="405" t="s">
        <v>72</v>
      </c>
      <c r="N3" s="405" t="s">
        <v>73</v>
      </c>
      <c r="O3" s="405" t="s">
        <v>74</v>
      </c>
      <c r="P3" s="405" t="s">
        <v>75</v>
      </c>
      <c r="Q3" s="405" t="s">
        <v>75</v>
      </c>
      <c r="R3" s="405" t="s">
        <v>76</v>
      </c>
      <c r="S3" s="405" t="s">
        <v>77</v>
      </c>
      <c r="T3" s="405" t="s">
        <v>78</v>
      </c>
      <c r="U3" s="405" t="s">
        <v>79</v>
      </c>
      <c r="V3" s="467" t="s">
        <v>80</v>
      </c>
      <c r="W3" s="468" t="s">
        <v>81</v>
      </c>
      <c r="X3" s="469" t="s">
        <v>82</v>
      </c>
      <c r="Y3" s="468" t="s">
        <v>83</v>
      </c>
      <c r="Z3" s="468" t="s">
        <v>83</v>
      </c>
      <c r="AA3" s="468" t="s">
        <v>83</v>
      </c>
      <c r="AB3" s="470" t="s">
        <v>84</v>
      </c>
      <c r="AC3" s="471" t="s">
        <v>85</v>
      </c>
      <c r="AD3" s="472" t="s">
        <v>86</v>
      </c>
      <c r="AE3" s="472" t="s">
        <v>87</v>
      </c>
      <c r="AF3" s="471" t="s">
        <v>85</v>
      </c>
      <c r="AG3" s="417" t="s">
        <v>88</v>
      </c>
      <c r="AH3" s="417" t="s">
        <v>88</v>
      </c>
      <c r="AI3" s="417" t="s">
        <v>88</v>
      </c>
      <c r="AJ3" s="473" t="s">
        <v>89</v>
      </c>
      <c r="AK3" s="473" t="s">
        <v>89</v>
      </c>
      <c r="AL3" s="417" t="s">
        <v>90</v>
      </c>
      <c r="AM3" s="417" t="s">
        <v>90</v>
      </c>
      <c r="AN3" s="417" t="s">
        <v>90</v>
      </c>
      <c r="AO3" s="417" t="s">
        <v>91</v>
      </c>
      <c r="AP3" s="406" t="s">
        <v>92</v>
      </c>
      <c r="AQ3" s="417" t="s">
        <v>93</v>
      </c>
      <c r="AR3" s="417" t="s">
        <v>93</v>
      </c>
      <c r="AS3" s="417" t="s">
        <v>93</v>
      </c>
      <c r="AT3" s="417" t="s">
        <v>93</v>
      </c>
      <c r="AU3" s="417" t="s">
        <v>93</v>
      </c>
      <c r="AV3" s="474" t="s">
        <v>94</v>
      </c>
      <c r="AW3" s="474" t="s">
        <v>94</v>
      </c>
      <c r="AX3" s="475" t="s">
        <v>95</v>
      </c>
      <c r="AY3" s="476" t="s">
        <v>96</v>
      </c>
      <c r="AZ3" s="477" t="s">
        <v>97</v>
      </c>
      <c r="BA3" s="421" t="s">
        <v>98</v>
      </c>
      <c r="BB3" s="421" t="s">
        <v>98</v>
      </c>
      <c r="BC3" s="421" t="s">
        <v>99</v>
      </c>
      <c r="BD3" s="469" t="s">
        <v>100</v>
      </c>
      <c r="BE3" s="469" t="s">
        <v>100</v>
      </c>
      <c r="BF3" s="473" t="s">
        <v>101</v>
      </c>
      <c r="BG3" s="473" t="s">
        <v>101</v>
      </c>
      <c r="BH3" s="473" t="s">
        <v>101</v>
      </c>
      <c r="BI3" s="473" t="s">
        <v>101</v>
      </c>
      <c r="BJ3" s="415" t="s">
        <v>102</v>
      </c>
      <c r="BK3" s="415" t="s">
        <v>103</v>
      </c>
      <c r="BL3" s="415" t="s">
        <v>102</v>
      </c>
      <c r="BM3" s="415" t="s">
        <v>104</v>
      </c>
      <c r="BN3" s="415" t="s">
        <v>103</v>
      </c>
      <c r="BO3" s="415" t="s">
        <v>105</v>
      </c>
      <c r="BP3" s="417" t="s">
        <v>106</v>
      </c>
      <c r="BQ3" s="415" t="s">
        <v>102</v>
      </c>
      <c r="BR3" s="415" t="s">
        <v>102</v>
      </c>
      <c r="BS3" s="416" t="s">
        <v>107</v>
      </c>
      <c r="BT3" s="416" t="s">
        <v>107</v>
      </c>
      <c r="BU3" s="478" t="s">
        <v>108</v>
      </c>
      <c r="BV3" s="411" t="s">
        <v>109</v>
      </c>
      <c r="BW3" s="411" t="s">
        <v>102</v>
      </c>
      <c r="BX3" s="479" t="s">
        <v>110</v>
      </c>
      <c r="BY3" s="411" t="s">
        <v>111</v>
      </c>
      <c r="BZ3" s="411" t="s">
        <v>112</v>
      </c>
      <c r="CA3" s="411" t="s">
        <v>113</v>
      </c>
      <c r="CB3" s="411" t="s">
        <v>113</v>
      </c>
      <c r="CC3" s="411" t="s">
        <v>113</v>
      </c>
      <c r="CD3" s="480" t="s">
        <v>114</v>
      </c>
      <c r="CE3" s="417" t="s">
        <v>115</v>
      </c>
      <c r="CF3" s="417" t="s">
        <v>115</v>
      </c>
      <c r="CG3" s="417" t="s">
        <v>115</v>
      </c>
      <c r="CH3" s="417" t="s">
        <v>115</v>
      </c>
      <c r="CI3" s="417" t="s">
        <v>115</v>
      </c>
      <c r="CJ3" s="481" t="s">
        <v>116</v>
      </c>
      <c r="CK3" s="481" t="s">
        <v>116</v>
      </c>
      <c r="CL3" s="481" t="s">
        <v>116</v>
      </c>
      <c r="CM3" s="481" t="s">
        <v>116</v>
      </c>
      <c r="CN3" s="482" t="s">
        <v>116</v>
      </c>
      <c r="CO3" s="483" t="s">
        <v>117</v>
      </c>
      <c r="CP3" s="484" t="s">
        <v>118</v>
      </c>
      <c r="CQ3" s="484" t="s">
        <v>118</v>
      </c>
      <c r="CR3" s="484" t="s">
        <v>119</v>
      </c>
      <c r="CS3" s="484" t="s">
        <v>120</v>
      </c>
      <c r="CT3" s="421" t="s">
        <v>121</v>
      </c>
      <c r="CU3" s="484" t="s">
        <v>122</v>
      </c>
      <c r="CV3" s="484" t="s">
        <v>122</v>
      </c>
      <c r="CW3" s="424" t="s">
        <v>123</v>
      </c>
      <c r="CX3" s="422" t="s">
        <v>122</v>
      </c>
      <c r="CY3" s="421" t="s">
        <v>124</v>
      </c>
      <c r="CZ3" s="421" t="s">
        <v>125</v>
      </c>
      <c r="DA3" s="421" t="s">
        <v>126</v>
      </c>
      <c r="DB3" s="485" t="s">
        <v>127</v>
      </c>
      <c r="DC3" s="421" t="s">
        <v>128</v>
      </c>
      <c r="DD3" s="421" t="s">
        <v>129</v>
      </c>
      <c r="DE3" s="486" t="s">
        <v>130</v>
      </c>
      <c r="DF3" s="477" t="s">
        <v>131</v>
      </c>
      <c r="DG3" s="477" t="s">
        <v>131</v>
      </c>
      <c r="DH3" s="428" t="s">
        <v>132</v>
      </c>
      <c r="DI3" s="426" t="s">
        <v>133</v>
      </c>
      <c r="DJ3" s="426" t="s">
        <v>133</v>
      </c>
      <c r="DK3" s="421" t="s">
        <v>134</v>
      </c>
      <c r="DL3" s="421" t="s">
        <v>135</v>
      </c>
      <c r="DM3" s="421" t="s">
        <v>136</v>
      </c>
      <c r="DN3" s="421" t="s">
        <v>137</v>
      </c>
      <c r="DO3" s="421" t="s">
        <v>137</v>
      </c>
      <c r="DP3" s="421" t="s">
        <v>138</v>
      </c>
      <c r="DQ3" s="421" t="s">
        <v>139</v>
      </c>
      <c r="DR3" s="477" t="s">
        <v>140</v>
      </c>
      <c r="DS3" s="487" t="s">
        <v>141</v>
      </c>
      <c r="DT3" s="487" t="s">
        <v>141</v>
      </c>
      <c r="DU3" s="487" t="s">
        <v>141</v>
      </c>
      <c r="DV3" s="487" t="s">
        <v>141</v>
      </c>
      <c r="DW3" s="487" t="s">
        <v>141</v>
      </c>
      <c r="DX3" s="426" t="s">
        <v>142</v>
      </c>
      <c r="DY3" s="426" t="s">
        <v>142</v>
      </c>
      <c r="DZ3" s="488" t="s">
        <v>143</v>
      </c>
      <c r="EA3" s="488" t="s">
        <v>143</v>
      </c>
      <c r="EB3" s="426" t="s">
        <v>144</v>
      </c>
      <c r="EC3" s="426" t="s">
        <v>144</v>
      </c>
      <c r="ED3" s="426" t="s">
        <v>144</v>
      </c>
      <c r="EE3" s="426" t="s">
        <v>144</v>
      </c>
      <c r="EF3" s="431" t="s">
        <v>145</v>
      </c>
      <c r="EG3" s="431" t="s">
        <v>146</v>
      </c>
      <c r="EH3" s="431" t="s">
        <v>146</v>
      </c>
      <c r="EI3" s="431" t="s">
        <v>146</v>
      </c>
      <c r="EJ3" s="431" t="s">
        <v>146</v>
      </c>
      <c r="EK3" s="426" t="s">
        <v>144</v>
      </c>
      <c r="EL3" s="426" t="s">
        <v>147</v>
      </c>
      <c r="EM3" s="431" t="s">
        <v>148</v>
      </c>
      <c r="EN3" s="424" t="s">
        <v>149</v>
      </c>
      <c r="EO3" s="421" t="s">
        <v>150</v>
      </c>
      <c r="EP3" s="421" t="s">
        <v>151</v>
      </c>
      <c r="EQ3" s="421" t="s">
        <v>151</v>
      </c>
      <c r="ER3" s="489" t="s">
        <v>152</v>
      </c>
      <c r="ES3" s="489" t="s">
        <v>152</v>
      </c>
      <c r="ET3" s="489" t="s">
        <v>152</v>
      </c>
      <c r="EU3" s="433" t="s">
        <v>153</v>
      </c>
      <c r="EV3" s="433" t="s">
        <v>154</v>
      </c>
      <c r="EW3" s="421" t="s">
        <v>155</v>
      </c>
      <c r="EX3" s="421" t="s">
        <v>155</v>
      </c>
      <c r="EY3" s="421" t="s">
        <v>156</v>
      </c>
      <c r="EZ3" s="421" t="s">
        <v>157</v>
      </c>
      <c r="FA3" s="421" t="s">
        <v>156</v>
      </c>
      <c r="FB3" s="421" t="s">
        <v>156</v>
      </c>
      <c r="FC3" s="421" t="s">
        <v>156</v>
      </c>
      <c r="FD3" s="421" t="s">
        <v>158</v>
      </c>
      <c r="FE3" s="421" t="s">
        <v>159</v>
      </c>
      <c r="FF3" s="421" t="s">
        <v>159</v>
      </c>
      <c r="FG3" s="490" t="s">
        <v>160</v>
      </c>
      <c r="FH3" s="421" t="s">
        <v>159</v>
      </c>
      <c r="FI3" s="421" t="s">
        <v>159</v>
      </c>
      <c r="FJ3" s="421" t="s">
        <v>159</v>
      </c>
      <c r="FK3" s="449" t="s">
        <v>161</v>
      </c>
      <c r="FL3" s="449" t="s">
        <v>161</v>
      </c>
      <c r="FM3" s="449" t="s">
        <v>162</v>
      </c>
      <c r="FN3" s="449" t="s">
        <v>163</v>
      </c>
      <c r="FO3" s="449" t="s">
        <v>164</v>
      </c>
      <c r="FP3" s="449" t="s">
        <v>164</v>
      </c>
      <c r="FQ3" s="421" t="s">
        <v>165</v>
      </c>
      <c r="FR3" s="421" t="s">
        <v>165</v>
      </c>
      <c r="FS3" s="421" t="s">
        <v>165</v>
      </c>
      <c r="FT3" s="421" t="s">
        <v>166</v>
      </c>
      <c r="FU3" s="421" t="s">
        <v>166</v>
      </c>
      <c r="FV3" s="435" t="s">
        <v>167</v>
      </c>
      <c r="FW3" s="435" t="s">
        <v>167</v>
      </c>
      <c r="FX3" s="444" t="s">
        <v>168</v>
      </c>
      <c r="FY3" s="421" t="s">
        <v>166</v>
      </c>
      <c r="FZ3" s="450" t="s">
        <v>169</v>
      </c>
      <c r="GA3" s="491" t="s">
        <v>170</v>
      </c>
      <c r="GB3" s="491" t="s">
        <v>171</v>
      </c>
      <c r="GC3" s="491" t="s">
        <v>172</v>
      </c>
      <c r="GD3" s="491" t="s">
        <v>172</v>
      </c>
      <c r="GE3" s="449" t="s">
        <v>172</v>
      </c>
      <c r="GF3" s="421" t="s">
        <v>173</v>
      </c>
      <c r="GG3" s="421" t="s">
        <v>174</v>
      </c>
      <c r="GH3" s="421" t="s">
        <v>174</v>
      </c>
      <c r="GI3" s="449" t="s">
        <v>175</v>
      </c>
      <c r="GJ3" s="450" t="s">
        <v>176</v>
      </c>
      <c r="GK3" s="492" t="s">
        <v>177</v>
      </c>
      <c r="GL3" s="492" t="s">
        <v>177</v>
      </c>
      <c r="GM3" s="397" t="s">
        <v>178</v>
      </c>
      <c r="GN3" s="397" t="s">
        <v>178</v>
      </c>
      <c r="GO3" s="393" t="s">
        <v>179</v>
      </c>
      <c r="GP3" s="393" t="s">
        <v>179</v>
      </c>
      <c r="GQ3" s="492" t="s">
        <v>177</v>
      </c>
      <c r="GR3" s="492" t="s">
        <v>177</v>
      </c>
      <c r="GS3" s="492" t="s">
        <v>177</v>
      </c>
      <c r="GT3" s="647" t="s">
        <v>180</v>
      </c>
      <c r="GU3" s="647" t="s">
        <v>180</v>
      </c>
      <c r="GV3" s="647" t="s">
        <v>180</v>
      </c>
      <c r="GW3" s="647" t="s">
        <v>180</v>
      </c>
      <c r="GX3" s="397" t="s">
        <v>179</v>
      </c>
      <c r="GY3" s="397" t="s">
        <v>179</v>
      </c>
      <c r="GZ3" s="493" t="s">
        <v>181</v>
      </c>
      <c r="HA3" s="493" t="s">
        <v>182</v>
      </c>
      <c r="HB3" s="493" t="s">
        <v>182</v>
      </c>
      <c r="HC3" s="493" t="s">
        <v>182</v>
      </c>
      <c r="HD3" s="532" t="s">
        <v>141</v>
      </c>
      <c r="HE3" s="397" t="s">
        <v>183</v>
      </c>
      <c r="HF3" s="397" t="s">
        <v>184</v>
      </c>
      <c r="HG3" s="494" t="s">
        <v>185</v>
      </c>
      <c r="HH3" s="494" t="s">
        <v>186</v>
      </c>
      <c r="HI3" s="397" t="s">
        <v>184</v>
      </c>
      <c r="HJ3" s="449" t="s">
        <v>187</v>
      </c>
      <c r="HK3" s="449" t="s">
        <v>187</v>
      </c>
      <c r="HL3" s="449" t="s">
        <v>187</v>
      </c>
      <c r="HM3" s="449" t="s">
        <v>187</v>
      </c>
      <c r="HN3" s="449" t="s">
        <v>187</v>
      </c>
      <c r="HO3" s="449" t="s">
        <v>187</v>
      </c>
      <c r="HP3" s="449" t="s">
        <v>187</v>
      </c>
      <c r="HQ3" s="449" t="s">
        <v>187</v>
      </c>
      <c r="HR3" s="449" t="s">
        <v>187</v>
      </c>
      <c r="HS3" s="449" t="s">
        <v>187</v>
      </c>
      <c r="HT3" s="666" t="s">
        <v>188</v>
      </c>
      <c r="HU3" s="666" t="s">
        <v>188</v>
      </c>
      <c r="HV3" s="666" t="s">
        <v>188</v>
      </c>
      <c r="HW3" s="666" t="s">
        <v>188</v>
      </c>
      <c r="HX3" s="666" t="s">
        <v>188</v>
      </c>
      <c r="HY3" s="666" t="s">
        <v>188</v>
      </c>
      <c r="HZ3" s="495" t="s">
        <v>189</v>
      </c>
      <c r="IA3" s="495" t="s">
        <v>189</v>
      </c>
      <c r="IB3" s="496" t="s">
        <v>190</v>
      </c>
      <c r="IC3" s="666" t="s">
        <v>188</v>
      </c>
      <c r="ID3" s="450" t="s">
        <v>191</v>
      </c>
      <c r="IE3" s="666" t="s">
        <v>188</v>
      </c>
      <c r="IF3" s="666" t="s">
        <v>188</v>
      </c>
      <c r="IG3" s="666" t="s">
        <v>188</v>
      </c>
      <c r="IH3" s="742" t="s">
        <v>188</v>
      </c>
      <c r="II3" s="453" t="s">
        <v>192</v>
      </c>
      <c r="IJ3" s="453" t="s">
        <v>192</v>
      </c>
      <c r="IK3" s="454" t="s">
        <v>192</v>
      </c>
      <c r="IL3" s="453" t="s">
        <v>192</v>
      </c>
      <c r="IM3" s="757" t="s">
        <v>192</v>
      </c>
      <c r="IN3" s="727" t="s">
        <v>193</v>
      </c>
      <c r="IO3" s="453" t="s">
        <v>192</v>
      </c>
      <c r="IP3" s="764" t="s">
        <v>192</v>
      </c>
      <c r="IQ3" s="757" t="s">
        <v>192</v>
      </c>
      <c r="IR3" s="757" t="s">
        <v>192</v>
      </c>
      <c r="IS3" s="728" t="s">
        <v>194</v>
      </c>
      <c r="IT3" s="728" t="s">
        <v>194</v>
      </c>
      <c r="IU3" s="689" t="s">
        <v>194</v>
      </c>
      <c r="IV3" s="689" t="s">
        <v>194</v>
      </c>
      <c r="IW3" s="661" t="s">
        <v>195</v>
      </c>
      <c r="IX3" s="762" t="s">
        <v>196</v>
      </c>
      <c r="IY3" s="661" t="s">
        <v>195</v>
      </c>
      <c r="IZ3" s="661" t="s">
        <v>195</v>
      </c>
      <c r="JA3" s="661" t="s">
        <v>195</v>
      </c>
      <c r="JB3" s="661" t="s">
        <v>195</v>
      </c>
      <c r="JC3" s="489" t="s">
        <v>188</v>
      </c>
      <c r="JD3" s="489" t="s">
        <v>188</v>
      </c>
      <c r="JE3" s="489" t="s">
        <v>188</v>
      </c>
      <c r="JF3" s="489" t="s">
        <v>188</v>
      </c>
      <c r="JG3" s="489" t="s">
        <v>188</v>
      </c>
      <c r="JH3" s="625" t="s">
        <v>197</v>
      </c>
      <c r="JI3" s="625" t="s">
        <v>197</v>
      </c>
      <c r="JJ3" s="625" t="s">
        <v>197</v>
      </c>
      <c r="JK3" s="625"/>
      <c r="JL3" s="625"/>
      <c r="JM3" s="497" t="s">
        <v>198</v>
      </c>
      <c r="JN3" s="497" t="s">
        <v>198</v>
      </c>
      <c r="JO3" s="497" t="s">
        <v>198</v>
      </c>
      <c r="JP3" s="497" t="s">
        <v>198</v>
      </c>
      <c r="JQ3" s="449" t="s">
        <v>199</v>
      </c>
      <c r="JR3" s="449" t="s">
        <v>199</v>
      </c>
      <c r="JS3" s="449" t="s">
        <v>199</v>
      </c>
      <c r="JT3" s="449" t="s">
        <v>199</v>
      </c>
      <c r="JU3" s="744" t="s">
        <v>200</v>
      </c>
      <c r="JV3" s="749" t="s">
        <v>200</v>
      </c>
      <c r="JW3" s="744" t="s">
        <v>200</v>
      </c>
      <c r="JX3" s="455"/>
      <c r="JY3" s="455"/>
      <c r="JZ3" s="453"/>
      <c r="KA3" s="453"/>
      <c r="KB3" s="453"/>
      <c r="KC3" s="453"/>
      <c r="KD3" s="453"/>
      <c r="KE3" s="453"/>
      <c r="KF3" s="453"/>
      <c r="KG3" s="453"/>
      <c r="KH3" s="453"/>
      <c r="KI3" s="453"/>
      <c r="KJ3" s="453"/>
      <c r="KK3" s="453"/>
      <c r="KL3" s="453"/>
      <c r="KM3" s="453"/>
      <c r="KN3" s="454"/>
      <c r="KO3" s="453"/>
      <c r="KP3" s="455"/>
      <c r="KQ3" s="453"/>
      <c r="KR3" s="453"/>
      <c r="KS3" s="453"/>
      <c r="KT3" s="221" t="s">
        <v>201</v>
      </c>
      <c r="KU3" s="453"/>
      <c r="KV3" s="453"/>
      <c r="KW3" s="453"/>
      <c r="KX3" s="453"/>
      <c r="KY3" s="453"/>
      <c r="KZ3" s="453"/>
      <c r="LA3" s="453"/>
      <c r="LB3" s="453"/>
      <c r="LC3" s="454"/>
      <c r="LD3" s="453"/>
      <c r="LE3" s="453"/>
      <c r="LF3" s="453"/>
      <c r="LG3" s="453"/>
      <c r="LH3" s="453"/>
      <c r="LI3" s="453"/>
      <c r="LJ3" s="453"/>
      <c r="LK3" s="458"/>
      <c r="LL3" s="458"/>
      <c r="LM3" s="458"/>
      <c r="LN3" s="498" t="s">
        <v>202</v>
      </c>
      <c r="LO3" s="453"/>
      <c r="LP3" s="453"/>
      <c r="LQ3" s="453"/>
      <c r="LR3" s="453"/>
    </row>
    <row r="4" spans="1:330" ht="83.25" customHeight="1">
      <c r="A4" s="404" t="s">
        <v>6</v>
      </c>
      <c r="B4" s="405" t="s">
        <v>203</v>
      </c>
      <c r="C4" s="405" t="s">
        <v>204</v>
      </c>
      <c r="D4" s="405" t="s">
        <v>205</v>
      </c>
      <c r="E4" s="405" t="s">
        <v>206</v>
      </c>
      <c r="F4" s="405" t="s">
        <v>207</v>
      </c>
      <c r="G4" s="405" t="s">
        <v>208</v>
      </c>
      <c r="H4" s="405" t="s">
        <v>209</v>
      </c>
      <c r="I4" s="405" t="s">
        <v>210</v>
      </c>
      <c r="J4" s="405" t="s">
        <v>211</v>
      </c>
      <c r="K4" s="405" t="s">
        <v>212</v>
      </c>
      <c r="L4" s="405" t="s">
        <v>213</v>
      </c>
      <c r="M4" s="405" t="s">
        <v>214</v>
      </c>
      <c r="N4" s="405" t="s">
        <v>215</v>
      </c>
      <c r="O4" s="405" t="s">
        <v>216</v>
      </c>
      <c r="P4" s="405" t="s">
        <v>217</v>
      </c>
      <c r="Q4" s="405" t="s">
        <v>218</v>
      </c>
      <c r="R4" s="405" t="s">
        <v>218</v>
      </c>
      <c r="S4" s="405" t="s">
        <v>219</v>
      </c>
      <c r="T4" s="405" t="s">
        <v>220</v>
      </c>
      <c r="U4" s="405" t="s">
        <v>221</v>
      </c>
      <c r="V4" s="406" t="s">
        <v>222</v>
      </c>
      <c r="W4" s="407" t="s">
        <v>223</v>
      </c>
      <c r="X4" s="407" t="s">
        <v>224</v>
      </c>
      <c r="Y4" s="407" t="s">
        <v>225</v>
      </c>
      <c r="Z4" s="407" t="s">
        <v>226</v>
      </c>
      <c r="AA4" s="407" t="s">
        <v>225</v>
      </c>
      <c r="AB4" s="408" t="s">
        <v>227</v>
      </c>
      <c r="AC4" s="408" t="s">
        <v>227</v>
      </c>
      <c r="AD4" s="408" t="s">
        <v>227</v>
      </c>
      <c r="AE4" s="408" t="s">
        <v>227</v>
      </c>
      <c r="AF4" s="408" t="s">
        <v>227</v>
      </c>
      <c r="AG4" s="408" t="s">
        <v>228</v>
      </c>
      <c r="AH4" s="408" t="s">
        <v>228</v>
      </c>
      <c r="AI4" s="408" t="s">
        <v>229</v>
      </c>
      <c r="AJ4" s="408" t="s">
        <v>230</v>
      </c>
      <c r="AK4" s="408" t="s">
        <v>230</v>
      </c>
      <c r="AL4" s="408" t="s">
        <v>231</v>
      </c>
      <c r="AM4" s="408" t="s">
        <v>231</v>
      </c>
      <c r="AN4" s="408" t="s">
        <v>232</v>
      </c>
      <c r="AO4" s="408" t="s">
        <v>233</v>
      </c>
      <c r="AP4" s="408" t="s">
        <v>233</v>
      </c>
      <c r="AQ4" s="409" t="s">
        <v>234</v>
      </c>
      <c r="AR4" s="409" t="s">
        <v>234</v>
      </c>
      <c r="AS4" s="409" t="s">
        <v>234</v>
      </c>
      <c r="AT4" s="409" t="s">
        <v>234</v>
      </c>
      <c r="AU4" s="409" t="s">
        <v>234</v>
      </c>
      <c r="AV4" s="410" t="s">
        <v>235</v>
      </c>
      <c r="AW4" s="409" t="s">
        <v>236</v>
      </c>
      <c r="AX4" s="409" t="s">
        <v>237</v>
      </c>
      <c r="AY4" s="409" t="s">
        <v>238</v>
      </c>
      <c r="AZ4" s="409" t="s">
        <v>239</v>
      </c>
      <c r="BA4" s="411" t="s">
        <v>240</v>
      </c>
      <c r="BB4" s="411" t="s">
        <v>241</v>
      </c>
      <c r="BC4" s="412" t="s">
        <v>242</v>
      </c>
      <c r="BD4" s="413" t="s">
        <v>89</v>
      </c>
      <c r="BE4" s="413" t="s">
        <v>89</v>
      </c>
      <c r="BF4" s="412" t="s">
        <v>242</v>
      </c>
      <c r="BG4" s="412" t="s">
        <v>242</v>
      </c>
      <c r="BH4" s="412" t="s">
        <v>243</v>
      </c>
      <c r="BI4" s="414" t="s">
        <v>244</v>
      </c>
      <c r="BJ4" s="415" t="s">
        <v>102</v>
      </c>
      <c r="BK4" s="415" t="s">
        <v>102</v>
      </c>
      <c r="BL4" s="415" t="s">
        <v>245</v>
      </c>
      <c r="BM4" s="415" t="s">
        <v>245</v>
      </c>
      <c r="BN4" s="415" t="s">
        <v>246</v>
      </c>
      <c r="BO4" s="415" t="s">
        <v>247</v>
      </c>
      <c r="BP4" s="415" t="s">
        <v>247</v>
      </c>
      <c r="BQ4" s="416" t="s">
        <v>248</v>
      </c>
      <c r="BR4" s="416" t="s">
        <v>248</v>
      </c>
      <c r="BS4" s="415" t="s">
        <v>249</v>
      </c>
      <c r="BT4" s="415" t="s">
        <v>102</v>
      </c>
      <c r="BU4" s="415" t="s">
        <v>102</v>
      </c>
      <c r="BV4" s="417" t="s">
        <v>250</v>
      </c>
      <c r="BW4" s="415" t="s">
        <v>102</v>
      </c>
      <c r="BX4" s="414" t="s">
        <v>141</v>
      </c>
      <c r="BY4" s="414" t="s">
        <v>141</v>
      </c>
      <c r="BZ4" s="415" t="s">
        <v>251</v>
      </c>
      <c r="CA4" s="415" t="s">
        <v>251</v>
      </c>
      <c r="CB4" s="418" t="s">
        <v>252</v>
      </c>
      <c r="CC4" s="418" t="s">
        <v>253</v>
      </c>
      <c r="CD4" s="418" t="s">
        <v>254</v>
      </c>
      <c r="CE4" s="418" t="s">
        <v>254</v>
      </c>
      <c r="CF4" s="418" t="s">
        <v>252</v>
      </c>
      <c r="CG4" s="418" t="s">
        <v>252</v>
      </c>
      <c r="CH4" s="418" t="s">
        <v>252</v>
      </c>
      <c r="CI4" s="418" t="s">
        <v>252</v>
      </c>
      <c r="CJ4" s="419" t="s">
        <v>255</v>
      </c>
      <c r="CK4" s="419" t="s">
        <v>255</v>
      </c>
      <c r="CL4" s="419" t="s">
        <v>256</v>
      </c>
      <c r="CM4" s="418" t="s">
        <v>257</v>
      </c>
      <c r="CN4" s="420" t="s">
        <v>257</v>
      </c>
      <c r="CO4" s="421" t="s">
        <v>258</v>
      </c>
      <c r="CP4" s="422" t="s">
        <v>259</v>
      </c>
      <c r="CQ4" s="422" t="s">
        <v>260</v>
      </c>
      <c r="CR4" s="422" t="s">
        <v>261</v>
      </c>
      <c r="CS4" s="422" t="s">
        <v>261</v>
      </c>
      <c r="CT4" s="421" t="s">
        <v>262</v>
      </c>
      <c r="CU4" s="423" t="s">
        <v>263</v>
      </c>
      <c r="CV4" s="424" t="s">
        <v>264</v>
      </c>
      <c r="CW4" s="423" t="s">
        <v>263</v>
      </c>
      <c r="CX4" s="423" t="s">
        <v>265</v>
      </c>
      <c r="CY4" s="423" t="s">
        <v>263</v>
      </c>
      <c r="CZ4" s="423" t="s">
        <v>263</v>
      </c>
      <c r="DA4" s="423" t="s">
        <v>263</v>
      </c>
      <c r="DB4" s="425" t="s">
        <v>266</v>
      </c>
      <c r="DC4" s="425" t="s">
        <v>266</v>
      </c>
      <c r="DD4" s="425" t="s">
        <v>266</v>
      </c>
      <c r="DE4" s="421" t="s">
        <v>267</v>
      </c>
      <c r="DF4" s="421" t="s">
        <v>268</v>
      </c>
      <c r="DG4" s="423" t="s">
        <v>269</v>
      </c>
      <c r="DH4" s="423" t="s">
        <v>269</v>
      </c>
      <c r="DI4" s="426" t="s">
        <v>133</v>
      </c>
      <c r="DJ4" s="426" t="s">
        <v>133</v>
      </c>
      <c r="DK4" s="427" t="s">
        <v>270</v>
      </c>
      <c r="DL4" s="427" t="s">
        <v>271</v>
      </c>
      <c r="DM4" s="427" t="s">
        <v>272</v>
      </c>
      <c r="DN4" s="427" t="s">
        <v>273</v>
      </c>
      <c r="DO4" s="427" t="s">
        <v>274</v>
      </c>
      <c r="DP4" s="428" t="s">
        <v>275</v>
      </c>
      <c r="DQ4" s="428" t="s">
        <v>276</v>
      </c>
      <c r="DR4" s="428" t="s">
        <v>277</v>
      </c>
      <c r="DS4" s="428" t="s">
        <v>278</v>
      </c>
      <c r="DT4" s="428" t="s">
        <v>278</v>
      </c>
      <c r="DU4" s="427" t="s">
        <v>279</v>
      </c>
      <c r="DV4" s="427" t="s">
        <v>280</v>
      </c>
      <c r="DW4" s="429" t="s">
        <v>281</v>
      </c>
      <c r="DX4" s="429" t="s">
        <v>282</v>
      </c>
      <c r="DY4" s="426" t="s">
        <v>142</v>
      </c>
      <c r="DZ4" s="426" t="s">
        <v>142</v>
      </c>
      <c r="EA4" s="426" t="s">
        <v>142</v>
      </c>
      <c r="EB4" s="426" t="s">
        <v>144</v>
      </c>
      <c r="EC4" s="430" t="s">
        <v>283</v>
      </c>
      <c r="ED4" s="426" t="s">
        <v>144</v>
      </c>
      <c r="EE4" s="426" t="s">
        <v>144</v>
      </c>
      <c r="EF4" s="426" t="s">
        <v>144</v>
      </c>
      <c r="EG4" s="431" t="s">
        <v>284</v>
      </c>
      <c r="EH4" s="431" t="s">
        <v>146</v>
      </c>
      <c r="EI4" s="431" t="s">
        <v>146</v>
      </c>
      <c r="EJ4" s="431" t="s">
        <v>146</v>
      </c>
      <c r="EK4" s="423" t="s">
        <v>285</v>
      </c>
      <c r="EL4" s="431" t="s">
        <v>146</v>
      </c>
      <c r="EM4" s="431" t="s">
        <v>146</v>
      </c>
      <c r="EN4" s="431" t="s">
        <v>146</v>
      </c>
      <c r="EO4" s="431" t="s">
        <v>146</v>
      </c>
      <c r="EP4" s="431" t="s">
        <v>286</v>
      </c>
      <c r="EQ4" s="431" t="s">
        <v>287</v>
      </c>
      <c r="ER4" s="432" t="s">
        <v>288</v>
      </c>
      <c r="ES4" s="427" t="s">
        <v>289</v>
      </c>
      <c r="ET4" s="427" t="s">
        <v>290</v>
      </c>
      <c r="EU4" s="433" t="s">
        <v>291</v>
      </c>
      <c r="EV4" s="427" t="s">
        <v>292</v>
      </c>
      <c r="EW4" s="434" t="s">
        <v>293</v>
      </c>
      <c r="EX4" s="435" t="s">
        <v>294</v>
      </c>
      <c r="EY4" s="435" t="s">
        <v>294</v>
      </c>
      <c r="EZ4" s="435" t="s">
        <v>295</v>
      </c>
      <c r="FA4" s="436" t="s">
        <v>296</v>
      </c>
      <c r="FB4" s="437" t="s">
        <v>297</v>
      </c>
      <c r="FC4" s="438" t="s">
        <v>298</v>
      </c>
      <c r="FD4" s="438" t="s">
        <v>299</v>
      </c>
      <c r="FE4" s="439" t="s">
        <v>300</v>
      </c>
      <c r="FF4" s="439" t="s">
        <v>300</v>
      </c>
      <c r="FG4" s="432" t="s">
        <v>301</v>
      </c>
      <c r="FH4" s="440" t="s">
        <v>302</v>
      </c>
      <c r="FI4" s="441" t="s">
        <v>300</v>
      </c>
      <c r="FJ4" s="441" t="s">
        <v>300</v>
      </c>
      <c r="FK4" s="441" t="s">
        <v>300</v>
      </c>
      <c r="FL4" s="441" t="s">
        <v>300</v>
      </c>
      <c r="FM4" s="442" t="s">
        <v>303</v>
      </c>
      <c r="FN4" s="442" t="s">
        <v>304</v>
      </c>
      <c r="FO4" s="442" t="s">
        <v>305</v>
      </c>
      <c r="FP4" s="443" t="s">
        <v>141</v>
      </c>
      <c r="FQ4" s="442" t="s">
        <v>306</v>
      </c>
      <c r="FR4" s="442" t="s">
        <v>307</v>
      </c>
      <c r="FS4" s="442" t="s">
        <v>307</v>
      </c>
      <c r="FT4" s="442" t="s">
        <v>307</v>
      </c>
      <c r="FU4" s="442" t="s">
        <v>308</v>
      </c>
      <c r="FV4" s="435" t="s">
        <v>167</v>
      </c>
      <c r="FW4" s="435" t="s">
        <v>167</v>
      </c>
      <c r="FX4" s="444" t="s">
        <v>168</v>
      </c>
      <c r="FY4" s="442" t="s">
        <v>308</v>
      </c>
      <c r="FZ4" s="445" t="s">
        <v>309</v>
      </c>
      <c r="GA4" s="446" t="s">
        <v>310</v>
      </c>
      <c r="GB4" s="446" t="s">
        <v>310</v>
      </c>
      <c r="GC4" s="446" t="s">
        <v>310</v>
      </c>
      <c r="GD4" s="446" t="s">
        <v>310</v>
      </c>
      <c r="GE4" s="447" t="s">
        <v>311</v>
      </c>
      <c r="GF4" s="442" t="s">
        <v>311</v>
      </c>
      <c r="GG4" s="442" t="s">
        <v>311</v>
      </c>
      <c r="GH4" s="448" t="s">
        <v>312</v>
      </c>
      <c r="GI4" s="448" t="s">
        <v>312</v>
      </c>
      <c r="GJ4" s="442" t="s">
        <v>313</v>
      </c>
      <c r="GK4" s="395" t="s">
        <v>178</v>
      </c>
      <c r="GL4" s="388" t="s">
        <v>314</v>
      </c>
      <c r="GM4" s="395" t="s">
        <v>178</v>
      </c>
      <c r="GN4" s="384" t="s">
        <v>315</v>
      </c>
      <c r="GO4" s="384" t="s">
        <v>315</v>
      </c>
      <c r="GP4" s="384" t="s">
        <v>315</v>
      </c>
      <c r="GQ4" s="384" t="s">
        <v>315</v>
      </c>
      <c r="GR4" s="384" t="s">
        <v>315</v>
      </c>
      <c r="GS4" s="384" t="s">
        <v>315</v>
      </c>
      <c r="GT4" s="384" t="s">
        <v>315</v>
      </c>
      <c r="GU4" s="632" t="s">
        <v>316</v>
      </c>
      <c r="GV4" s="632" t="s">
        <v>316</v>
      </c>
      <c r="GW4" s="633" t="s">
        <v>317</v>
      </c>
      <c r="GX4" s="384" t="s">
        <v>315</v>
      </c>
      <c r="GY4" s="384" t="s">
        <v>315</v>
      </c>
      <c r="GZ4" s="449" t="s">
        <v>318</v>
      </c>
      <c r="HA4" s="655" t="s">
        <v>319</v>
      </c>
      <c r="HB4" s="655" t="s">
        <v>320</v>
      </c>
      <c r="HC4" s="654" t="s">
        <v>321</v>
      </c>
      <c r="HD4" s="654" t="s">
        <v>321</v>
      </c>
      <c r="HE4" s="654" t="s">
        <v>322</v>
      </c>
      <c r="HF4" s="654" t="s">
        <v>322</v>
      </c>
      <c r="HG4" s="385" t="s">
        <v>141</v>
      </c>
      <c r="HH4" s="654" t="s">
        <v>323</v>
      </c>
      <c r="HI4" s="654" t="s">
        <v>323</v>
      </c>
      <c r="HJ4" s="385" t="s">
        <v>141</v>
      </c>
      <c r="HK4" s="385" t="s">
        <v>141</v>
      </c>
      <c r="HL4" s="385" t="s">
        <v>141</v>
      </c>
      <c r="HM4" s="385" t="s">
        <v>141</v>
      </c>
      <c r="HN4" s="385" t="s">
        <v>141</v>
      </c>
      <c r="HO4" s="683" t="s">
        <v>324</v>
      </c>
      <c r="HP4" s="683" t="s">
        <v>324</v>
      </c>
      <c r="HQ4" s="385" t="s">
        <v>141</v>
      </c>
      <c r="HR4" s="691" t="s">
        <v>325</v>
      </c>
      <c r="HS4" s="690" t="s">
        <v>326</v>
      </c>
      <c r="HT4" s="449" t="s">
        <v>327</v>
      </c>
      <c r="HU4" s="449" t="s">
        <v>327</v>
      </c>
      <c r="HV4" s="682" t="s">
        <v>328</v>
      </c>
      <c r="HW4" s="682" t="s">
        <v>329</v>
      </c>
      <c r="HX4" s="682" t="s">
        <v>328</v>
      </c>
      <c r="HY4" s="450" t="s">
        <v>330</v>
      </c>
      <c r="HZ4" s="385" t="s">
        <v>141</v>
      </c>
      <c r="IA4" s="385" t="s">
        <v>141</v>
      </c>
      <c r="IB4" s="385" t="s">
        <v>141</v>
      </c>
      <c r="IC4" s="385" t="s">
        <v>141</v>
      </c>
      <c r="ID4" s="449" t="s">
        <v>327</v>
      </c>
      <c r="IE4" s="449" t="s">
        <v>327</v>
      </c>
      <c r="IF4" s="654" t="s">
        <v>331</v>
      </c>
      <c r="IG4" s="654" t="s">
        <v>331</v>
      </c>
      <c r="IH4" s="691" t="s">
        <v>331</v>
      </c>
      <c r="II4" s="743" t="s">
        <v>332</v>
      </c>
      <c r="IJ4" s="738" t="s">
        <v>332</v>
      </c>
      <c r="IK4" s="754" t="s">
        <v>332</v>
      </c>
      <c r="IL4" s="738" t="s">
        <v>333</v>
      </c>
      <c r="IM4" s="773" t="s">
        <v>334</v>
      </c>
      <c r="IN4" s="772" t="s">
        <v>335</v>
      </c>
      <c r="IO4" s="774" t="s">
        <v>336</v>
      </c>
      <c r="IP4" s="657" t="s">
        <v>193</v>
      </c>
      <c r="IQ4" s="719" t="s">
        <v>337</v>
      </c>
      <c r="IR4" s="719" t="s">
        <v>337</v>
      </c>
      <c r="IS4" s="719" t="s">
        <v>337</v>
      </c>
      <c r="IT4" s="689" t="s">
        <v>194</v>
      </c>
      <c r="IU4" s="689" t="s">
        <v>194</v>
      </c>
      <c r="IV4" s="689" t="s">
        <v>194</v>
      </c>
      <c r="IW4" s="761" t="s">
        <v>141</v>
      </c>
      <c r="IX4" s="762" t="s">
        <v>196</v>
      </c>
      <c r="IY4" s="661" t="s">
        <v>195</v>
      </c>
      <c r="IZ4" s="661" t="s">
        <v>195</v>
      </c>
      <c r="JA4" s="661" t="s">
        <v>195</v>
      </c>
      <c r="JB4" s="661" t="s">
        <v>195</v>
      </c>
      <c r="JC4" s="661" t="s">
        <v>195</v>
      </c>
      <c r="JD4" s="661" t="s">
        <v>195</v>
      </c>
      <c r="JE4" s="661" t="s">
        <v>195</v>
      </c>
      <c r="JF4" s="661" t="s">
        <v>338</v>
      </c>
      <c r="JG4" s="748" t="s">
        <v>339</v>
      </c>
      <c r="JH4" s="748" t="s">
        <v>339</v>
      </c>
      <c r="JI4" s="796" t="s">
        <v>340</v>
      </c>
      <c r="JJ4" s="599" t="s">
        <v>341</v>
      </c>
      <c r="JK4" s="599" t="s">
        <v>341</v>
      </c>
      <c r="JL4" s="599" t="s">
        <v>341</v>
      </c>
      <c r="JM4" s="497" t="s">
        <v>198</v>
      </c>
      <c r="JN4" s="497" t="s">
        <v>198</v>
      </c>
      <c r="JO4" s="497" t="s">
        <v>198</v>
      </c>
      <c r="JP4" s="497" t="s">
        <v>198</v>
      </c>
      <c r="JQ4" s="497" t="s">
        <v>198</v>
      </c>
      <c r="JR4" s="599" t="s">
        <v>341</v>
      </c>
      <c r="JS4" s="599" t="s">
        <v>341</v>
      </c>
      <c r="JT4" s="748"/>
      <c r="JU4" s="599"/>
      <c r="JV4" s="599"/>
      <c r="JW4" s="599"/>
      <c r="JX4" s="599"/>
      <c r="JY4" s="599"/>
      <c r="JZ4" s="453"/>
      <c r="KA4" s="453"/>
      <c r="KB4" s="453"/>
      <c r="KC4" s="453"/>
      <c r="KD4" s="453"/>
      <c r="KE4" s="453"/>
      <c r="KF4" s="453"/>
      <c r="KG4" s="453"/>
      <c r="KH4" s="453"/>
      <c r="KI4" s="453"/>
      <c r="KJ4" s="453" t="s">
        <v>342</v>
      </c>
      <c r="KK4" s="453" t="s">
        <v>342</v>
      </c>
      <c r="KL4" s="453" t="s">
        <v>342</v>
      </c>
      <c r="KM4" s="453"/>
      <c r="KN4" s="454"/>
      <c r="KO4" s="453"/>
      <c r="KP4" s="455"/>
      <c r="KQ4" s="453"/>
      <c r="KR4" s="453"/>
      <c r="KS4" s="453"/>
      <c r="KT4" s="453"/>
      <c r="KU4" s="453"/>
      <c r="KV4" s="453"/>
      <c r="KW4" s="453"/>
      <c r="KX4" s="453"/>
      <c r="KY4" s="453"/>
      <c r="KZ4" s="453"/>
      <c r="LA4" s="453"/>
      <c r="LB4" s="453"/>
      <c r="LC4" s="454"/>
      <c r="LD4" s="453"/>
      <c r="LE4" s="453"/>
      <c r="LF4" s="453"/>
      <c r="LG4" s="453"/>
      <c r="LH4" s="453"/>
      <c r="LI4" s="453"/>
      <c r="LJ4" s="453"/>
      <c r="LK4" s="421"/>
      <c r="LL4" s="456" t="s">
        <v>343</v>
      </c>
      <c r="LM4" s="457" t="s">
        <v>344</v>
      </c>
      <c r="LN4" s="458" t="s">
        <v>345</v>
      </c>
      <c r="LO4" s="449"/>
      <c r="LP4" s="453"/>
      <c r="LQ4" s="453"/>
      <c r="LR4" s="453"/>
    </row>
    <row r="5" spans="1:330" ht="93" customHeight="1">
      <c r="A5" s="404" t="s">
        <v>9</v>
      </c>
      <c r="B5" s="405" t="s">
        <v>346</v>
      </c>
      <c r="C5" s="405" t="s">
        <v>347</v>
      </c>
      <c r="D5" s="405" t="s">
        <v>348</v>
      </c>
      <c r="E5" s="405" t="s">
        <v>349</v>
      </c>
      <c r="F5" s="405" t="s">
        <v>346</v>
      </c>
      <c r="G5" s="405" t="s">
        <v>350</v>
      </c>
      <c r="H5" s="405" t="s">
        <v>351</v>
      </c>
      <c r="I5" s="405" t="s">
        <v>352</v>
      </c>
      <c r="J5" s="405" t="s">
        <v>352</v>
      </c>
      <c r="K5" s="499" t="s">
        <v>353</v>
      </c>
      <c r="L5" s="405" t="s">
        <v>354</v>
      </c>
      <c r="M5" s="405" t="s">
        <v>355</v>
      </c>
      <c r="N5" s="405" t="s">
        <v>356</v>
      </c>
      <c r="O5" s="405" t="s">
        <v>357</v>
      </c>
      <c r="P5" s="405" t="s">
        <v>358</v>
      </c>
      <c r="Q5" s="405" t="s">
        <v>359</v>
      </c>
      <c r="R5" s="405" t="s">
        <v>360</v>
      </c>
      <c r="S5" s="405" t="s">
        <v>361</v>
      </c>
      <c r="T5" s="405" t="s">
        <v>362</v>
      </c>
      <c r="U5" s="405" t="s">
        <v>363</v>
      </c>
      <c r="V5" s="500" t="s">
        <v>364</v>
      </c>
      <c r="W5" s="417" t="s">
        <v>365</v>
      </c>
      <c r="X5" s="473" t="s">
        <v>366</v>
      </c>
      <c r="Y5" s="417" t="s">
        <v>365</v>
      </c>
      <c r="Z5" s="469" t="s">
        <v>367</v>
      </c>
      <c r="AA5" s="417" t="s">
        <v>365</v>
      </c>
      <c r="AB5" s="415" t="s">
        <v>368</v>
      </c>
      <c r="AC5" s="415" t="s">
        <v>368</v>
      </c>
      <c r="AD5" s="415" t="s">
        <v>368</v>
      </c>
      <c r="AE5" s="415" t="s">
        <v>368</v>
      </c>
      <c r="AF5" s="415" t="s">
        <v>368</v>
      </c>
      <c r="AG5" s="501"/>
      <c r="AH5" s="501"/>
      <c r="AI5" s="417" t="s">
        <v>369</v>
      </c>
      <c r="AJ5" s="473" t="s">
        <v>89</v>
      </c>
      <c r="AK5" s="473" t="s">
        <v>89</v>
      </c>
      <c r="AL5" s="417" t="s">
        <v>369</v>
      </c>
      <c r="AM5" s="417" t="s">
        <v>369</v>
      </c>
      <c r="AN5" s="417" t="s">
        <v>370</v>
      </c>
      <c r="AO5" s="417" t="s">
        <v>371</v>
      </c>
      <c r="AP5" s="469" t="s">
        <v>372</v>
      </c>
      <c r="AQ5" s="417" t="s">
        <v>373</v>
      </c>
      <c r="AR5" s="417" t="s">
        <v>374</v>
      </c>
      <c r="AS5" s="417" t="s">
        <v>373</v>
      </c>
      <c r="AT5" s="417" t="s">
        <v>373</v>
      </c>
      <c r="AU5" s="417" t="s">
        <v>375</v>
      </c>
      <c r="AV5" s="502" t="s">
        <v>376</v>
      </c>
      <c r="AW5" s="503" t="s">
        <v>377</v>
      </c>
      <c r="AX5" s="504" t="s">
        <v>378</v>
      </c>
      <c r="AY5" s="476" t="s">
        <v>379</v>
      </c>
      <c r="AZ5" s="475" t="s">
        <v>97</v>
      </c>
      <c r="BA5" s="415" t="s">
        <v>380</v>
      </c>
      <c r="BB5" s="415" t="s">
        <v>380</v>
      </c>
      <c r="BC5" s="415" t="s">
        <v>380</v>
      </c>
      <c r="BD5" s="473" t="s">
        <v>381</v>
      </c>
      <c r="BE5" s="473" t="s">
        <v>381</v>
      </c>
      <c r="BF5" s="473" t="s">
        <v>101</v>
      </c>
      <c r="BG5" s="473" t="s">
        <v>101</v>
      </c>
      <c r="BH5" s="473" t="s">
        <v>101</v>
      </c>
      <c r="BI5" s="473" t="s">
        <v>101</v>
      </c>
      <c r="BJ5" s="415" t="s">
        <v>380</v>
      </c>
      <c r="BK5" s="415" t="s">
        <v>103</v>
      </c>
      <c r="BL5" s="415" t="s">
        <v>103</v>
      </c>
      <c r="BM5" s="415" t="s">
        <v>103</v>
      </c>
      <c r="BN5" s="417" t="s">
        <v>382</v>
      </c>
      <c r="BO5" s="417" t="s">
        <v>106</v>
      </c>
      <c r="BP5" s="417" t="s">
        <v>106</v>
      </c>
      <c r="BQ5" s="415" t="s">
        <v>102</v>
      </c>
      <c r="BR5" s="416" t="s">
        <v>107</v>
      </c>
      <c r="BS5" s="411" t="s">
        <v>107</v>
      </c>
      <c r="BT5" s="411" t="s">
        <v>107</v>
      </c>
      <c r="BU5" s="505" t="s">
        <v>383</v>
      </c>
      <c r="BV5" s="417" t="s">
        <v>250</v>
      </c>
      <c r="BW5" s="415" t="s">
        <v>102</v>
      </c>
      <c r="BX5" s="415" t="s">
        <v>102</v>
      </c>
      <c r="BY5" s="415" t="s">
        <v>102</v>
      </c>
      <c r="BZ5" s="415" t="s">
        <v>384</v>
      </c>
      <c r="CA5" s="417" t="s">
        <v>385</v>
      </c>
      <c r="CB5" s="415" t="s">
        <v>102</v>
      </c>
      <c r="CC5" s="415" t="s">
        <v>102</v>
      </c>
      <c r="CD5" s="411" t="s">
        <v>386</v>
      </c>
      <c r="CE5" s="411" t="s">
        <v>387</v>
      </c>
      <c r="CF5" s="475" t="s">
        <v>387</v>
      </c>
      <c r="CG5" s="475" t="s">
        <v>387</v>
      </c>
      <c r="CH5" s="475" t="s">
        <v>387</v>
      </c>
      <c r="CI5" s="411" t="s">
        <v>388</v>
      </c>
      <c r="CJ5" s="415" t="s">
        <v>252</v>
      </c>
      <c r="CK5" s="415" t="s">
        <v>252</v>
      </c>
      <c r="CL5" s="415" t="s">
        <v>252</v>
      </c>
      <c r="CM5" s="417" t="s">
        <v>389</v>
      </c>
      <c r="CN5" s="506" t="s">
        <v>252</v>
      </c>
      <c r="CO5" s="483" t="s">
        <v>390</v>
      </c>
      <c r="CP5" s="421" t="s">
        <v>391</v>
      </c>
      <c r="CQ5" s="507" t="s">
        <v>392</v>
      </c>
      <c r="CR5" s="507" t="s">
        <v>392</v>
      </c>
      <c r="CS5" s="507" t="s">
        <v>393</v>
      </c>
      <c r="CT5" s="507" t="s">
        <v>392</v>
      </c>
      <c r="CU5" s="507" t="s">
        <v>392</v>
      </c>
      <c r="CV5" s="507" t="s">
        <v>392</v>
      </c>
      <c r="CW5" s="507" t="s">
        <v>392</v>
      </c>
      <c r="CX5" s="487" t="s">
        <v>372</v>
      </c>
      <c r="CY5" s="507" t="s">
        <v>392</v>
      </c>
      <c r="CZ5" s="507" t="s">
        <v>392</v>
      </c>
      <c r="DA5" s="507" t="s">
        <v>392</v>
      </c>
      <c r="DB5" s="427" t="s">
        <v>394</v>
      </c>
      <c r="DC5" s="487" t="s">
        <v>353</v>
      </c>
      <c r="DD5" s="427" t="s">
        <v>395</v>
      </c>
      <c r="DE5" s="427" t="s">
        <v>396</v>
      </c>
      <c r="DF5" s="427" t="s">
        <v>397</v>
      </c>
      <c r="DG5" s="427" t="s">
        <v>397</v>
      </c>
      <c r="DH5" s="427" t="s">
        <v>397</v>
      </c>
      <c r="DI5" s="487" t="s">
        <v>398</v>
      </c>
      <c r="DJ5" s="487" t="s">
        <v>398</v>
      </c>
      <c r="DK5" s="487" t="s">
        <v>398</v>
      </c>
      <c r="DL5" s="487" t="s">
        <v>398</v>
      </c>
      <c r="DM5" s="426" t="s">
        <v>133</v>
      </c>
      <c r="DN5" s="426" t="s">
        <v>133</v>
      </c>
      <c r="DO5" s="427" t="s">
        <v>399</v>
      </c>
      <c r="DP5" s="427" t="s">
        <v>400</v>
      </c>
      <c r="DQ5" s="477" t="s">
        <v>401</v>
      </c>
      <c r="DR5" s="477" t="s">
        <v>402</v>
      </c>
      <c r="DS5" s="508" t="s">
        <v>403</v>
      </c>
      <c r="DT5" s="428" t="s">
        <v>404</v>
      </c>
      <c r="DU5" s="428" t="s">
        <v>404</v>
      </c>
      <c r="DV5" s="428" t="s">
        <v>404</v>
      </c>
      <c r="DW5" s="428" t="s">
        <v>404</v>
      </c>
      <c r="DX5" s="428" t="s">
        <v>404</v>
      </c>
      <c r="DY5" s="428" t="s">
        <v>404</v>
      </c>
      <c r="DZ5" s="426" t="s">
        <v>142</v>
      </c>
      <c r="EA5" s="493" t="s">
        <v>405</v>
      </c>
      <c r="EB5" s="493" t="s">
        <v>405</v>
      </c>
      <c r="EC5" s="493" t="s">
        <v>406</v>
      </c>
      <c r="ED5" s="493" t="s">
        <v>406</v>
      </c>
      <c r="EE5" s="426" t="s">
        <v>407</v>
      </c>
      <c r="EF5" s="431" t="s">
        <v>284</v>
      </c>
      <c r="EG5" s="431" t="s">
        <v>146</v>
      </c>
      <c r="EH5" s="431" t="s">
        <v>146</v>
      </c>
      <c r="EI5" s="431" t="s">
        <v>146</v>
      </c>
      <c r="EJ5" s="431" t="s">
        <v>146</v>
      </c>
      <c r="EK5" s="431" t="s">
        <v>146</v>
      </c>
      <c r="EL5" s="426" t="s">
        <v>408</v>
      </c>
      <c r="EM5" s="427" t="s">
        <v>409</v>
      </c>
      <c r="EN5" s="427" t="s">
        <v>410</v>
      </c>
      <c r="EO5" s="509" t="s">
        <v>411</v>
      </c>
      <c r="EP5" s="510" t="s">
        <v>141</v>
      </c>
      <c r="EQ5" s="509" t="s">
        <v>411</v>
      </c>
      <c r="ER5" s="427" t="s">
        <v>412</v>
      </c>
      <c r="ES5" s="427" t="s">
        <v>413</v>
      </c>
      <c r="ET5" s="428" t="s">
        <v>414</v>
      </c>
      <c r="EU5" s="428" t="s">
        <v>414</v>
      </c>
      <c r="EV5" s="485" t="s">
        <v>415</v>
      </c>
      <c r="EW5" s="491" t="s">
        <v>416</v>
      </c>
      <c r="EX5" s="428" t="s">
        <v>417</v>
      </c>
      <c r="EY5" s="427" t="s">
        <v>418</v>
      </c>
      <c r="EZ5" s="511" t="s">
        <v>419</v>
      </c>
      <c r="FA5" s="511" t="s">
        <v>419</v>
      </c>
      <c r="FB5" s="512" t="s">
        <v>420</v>
      </c>
      <c r="FC5" s="513" t="s">
        <v>420</v>
      </c>
      <c r="FD5" s="513" t="s">
        <v>420</v>
      </c>
      <c r="FE5" s="511" t="s">
        <v>419</v>
      </c>
      <c r="FF5" s="511" t="s">
        <v>419</v>
      </c>
      <c r="FG5" s="514" t="s">
        <v>160</v>
      </c>
      <c r="FH5" s="449" t="s">
        <v>421</v>
      </c>
      <c r="FI5" s="428" t="s">
        <v>422</v>
      </c>
      <c r="FJ5" s="428" t="s">
        <v>422</v>
      </c>
      <c r="FK5" s="428" t="s">
        <v>422</v>
      </c>
      <c r="FL5" s="428" t="s">
        <v>422</v>
      </c>
      <c r="FM5" s="428" t="s">
        <v>422</v>
      </c>
      <c r="FN5" s="428" t="s">
        <v>422</v>
      </c>
      <c r="FO5" s="428" t="s">
        <v>422</v>
      </c>
      <c r="FP5" s="428" t="s">
        <v>422</v>
      </c>
      <c r="FQ5" s="428" t="s">
        <v>422</v>
      </c>
      <c r="FR5" s="428" t="s">
        <v>422</v>
      </c>
      <c r="FS5" s="443" t="s">
        <v>423</v>
      </c>
      <c r="FT5" s="443" t="s">
        <v>423</v>
      </c>
      <c r="FU5" s="443" t="s">
        <v>423</v>
      </c>
      <c r="FV5" s="435" t="s">
        <v>167</v>
      </c>
      <c r="FW5" s="435" t="s">
        <v>167</v>
      </c>
      <c r="FX5" s="489" t="s">
        <v>424</v>
      </c>
      <c r="FY5" s="489"/>
      <c r="FZ5" s="450" t="s">
        <v>169</v>
      </c>
      <c r="GA5" s="515" t="s">
        <v>425</v>
      </c>
      <c r="GB5" s="515" t="s">
        <v>426</v>
      </c>
      <c r="GC5" s="516" t="s">
        <v>422</v>
      </c>
      <c r="GD5" s="516" t="s">
        <v>422</v>
      </c>
      <c r="GE5" s="516" t="s">
        <v>422</v>
      </c>
      <c r="GF5" s="516" t="s">
        <v>422</v>
      </c>
      <c r="GG5" s="516" t="s">
        <v>422</v>
      </c>
      <c r="GH5" s="517" t="s">
        <v>427</v>
      </c>
      <c r="GI5" s="517" t="s">
        <v>427</v>
      </c>
      <c r="GJ5" s="450" t="s">
        <v>176</v>
      </c>
      <c r="GK5" s="395" t="s">
        <v>178</v>
      </c>
      <c r="GL5" s="395" t="s">
        <v>178</v>
      </c>
      <c r="GM5" s="395" t="s">
        <v>178</v>
      </c>
      <c r="GN5" s="383" t="s">
        <v>428</v>
      </c>
      <c r="GO5" s="383" t="s">
        <v>428</v>
      </c>
      <c r="GP5" s="383" t="s">
        <v>428</v>
      </c>
      <c r="GQ5" s="383" t="s">
        <v>428</v>
      </c>
      <c r="GR5" s="383" t="s">
        <v>428</v>
      </c>
      <c r="GS5" s="383" t="s">
        <v>428</v>
      </c>
      <c r="GT5" s="383" t="s">
        <v>428</v>
      </c>
      <c r="GU5" s="383" t="s">
        <v>429</v>
      </c>
      <c r="GV5" s="383" t="s">
        <v>430</v>
      </c>
      <c r="GW5" s="395" t="s">
        <v>428</v>
      </c>
      <c r="GX5" s="395" t="s">
        <v>428</v>
      </c>
      <c r="GY5" s="395" t="s">
        <v>428</v>
      </c>
      <c r="GZ5" s="449" t="s">
        <v>318</v>
      </c>
      <c r="HA5" s="489" t="s">
        <v>431</v>
      </c>
      <c r="HB5" s="489" t="s">
        <v>431</v>
      </c>
      <c r="HC5" s="449" t="s">
        <v>432</v>
      </c>
      <c r="HD5" s="449" t="s">
        <v>433</v>
      </c>
      <c r="HE5" s="449" t="s">
        <v>433</v>
      </c>
      <c r="HF5" s="449" t="s">
        <v>434</v>
      </c>
      <c r="HG5" s="449" t="s">
        <v>435</v>
      </c>
      <c r="HH5" s="449" t="s">
        <v>436</v>
      </c>
      <c r="HI5" s="449" t="s">
        <v>436</v>
      </c>
      <c r="HJ5" s="449" t="s">
        <v>437</v>
      </c>
      <c r="HK5" s="449" t="s">
        <v>437</v>
      </c>
      <c r="HL5" s="449" t="s">
        <v>437</v>
      </c>
      <c r="HM5" s="449" t="s">
        <v>437</v>
      </c>
      <c r="HN5" s="489" t="s">
        <v>438</v>
      </c>
      <c r="HO5" s="489" t="s">
        <v>439</v>
      </c>
      <c r="HP5" s="688" t="s">
        <v>440</v>
      </c>
      <c r="HQ5" s="489" t="s">
        <v>441</v>
      </c>
      <c r="HR5" s="489" t="s">
        <v>439</v>
      </c>
      <c r="HS5" s="515" t="s">
        <v>439</v>
      </c>
      <c r="HT5" s="449" t="s">
        <v>327</v>
      </c>
      <c r="HU5" s="449" t="s">
        <v>327</v>
      </c>
      <c r="HV5" s="517" t="s">
        <v>442</v>
      </c>
      <c r="HW5" s="517" t="s">
        <v>442</v>
      </c>
      <c r="HX5" s="449" t="s">
        <v>327</v>
      </c>
      <c r="HY5" s="449" t="s">
        <v>327</v>
      </c>
      <c r="HZ5" s="449" t="s">
        <v>327</v>
      </c>
      <c r="IA5" s="449"/>
      <c r="IB5" s="705"/>
      <c r="IC5" s="489" t="s">
        <v>443</v>
      </c>
      <c r="ID5" s="450" t="s">
        <v>191</v>
      </c>
      <c r="IE5" s="489" t="s">
        <v>443</v>
      </c>
      <c r="IF5" s="489" t="s">
        <v>444</v>
      </c>
      <c r="IG5" s="489" t="s">
        <v>444</v>
      </c>
      <c r="IH5" s="736" t="s">
        <v>141</v>
      </c>
      <c r="II5" s="449" t="s">
        <v>332</v>
      </c>
      <c r="IJ5" s="530" t="s">
        <v>332</v>
      </c>
      <c r="IK5" s="722" t="s">
        <v>332</v>
      </c>
      <c r="IL5" s="489" t="s">
        <v>445</v>
      </c>
      <c r="IM5" s="714" t="s">
        <v>444</v>
      </c>
      <c r="IN5" s="775" t="s">
        <v>193</v>
      </c>
      <c r="IO5" s="759" t="s">
        <v>444</v>
      </c>
      <c r="IP5" s="515" t="s">
        <v>444</v>
      </c>
      <c r="IQ5" s="719" t="s">
        <v>337</v>
      </c>
      <c r="IR5" s="719" t="s">
        <v>337</v>
      </c>
      <c r="IS5" s="719" t="s">
        <v>337</v>
      </c>
      <c r="IT5" s="760" t="s">
        <v>194</v>
      </c>
      <c r="IU5" s="726" t="s">
        <v>446</v>
      </c>
      <c r="IV5" s="760" t="s">
        <v>194</v>
      </c>
      <c r="IW5" s="760" t="s">
        <v>194</v>
      </c>
      <c r="IX5" s="760" t="s">
        <v>194</v>
      </c>
      <c r="IY5" s="661" t="s">
        <v>196</v>
      </c>
      <c r="IZ5" s="661" t="s">
        <v>195</v>
      </c>
      <c r="JA5" s="661" t="s">
        <v>195</v>
      </c>
      <c r="JB5" s="661" t="s">
        <v>195</v>
      </c>
      <c r="JC5" s="661" t="s">
        <v>195</v>
      </c>
      <c r="JD5" s="385" t="s">
        <v>141</v>
      </c>
      <c r="JE5" s="385" t="s">
        <v>141</v>
      </c>
      <c r="JF5" s="385" t="s">
        <v>141</v>
      </c>
      <c r="JG5" s="385" t="s">
        <v>141</v>
      </c>
      <c r="JH5" s="385" t="s">
        <v>141</v>
      </c>
      <c r="JI5" s="661" t="s">
        <v>195</v>
      </c>
      <c r="JJ5" s="661" t="s">
        <v>195</v>
      </c>
      <c r="JK5" s="661" t="s">
        <v>195</v>
      </c>
      <c r="JL5" s="725" t="s">
        <v>447</v>
      </c>
      <c r="JM5" s="497" t="s">
        <v>198</v>
      </c>
      <c r="JN5" s="497" t="s">
        <v>198</v>
      </c>
      <c r="JO5" s="497" t="s">
        <v>198</v>
      </c>
      <c r="JP5" s="497" t="s">
        <v>198</v>
      </c>
      <c r="JQ5" s="489" t="s">
        <v>444</v>
      </c>
      <c r="JR5" s="489" t="s">
        <v>444</v>
      </c>
      <c r="JS5" s="755" t="s">
        <v>448</v>
      </c>
      <c r="JT5" s="714" t="s">
        <v>444</v>
      </c>
      <c r="JU5" s="453"/>
      <c r="JV5" s="453"/>
      <c r="JW5" s="453"/>
      <c r="JX5" s="453"/>
      <c r="JY5" s="453"/>
      <c r="JZ5" s="453"/>
      <c r="KA5" s="453"/>
      <c r="KB5" s="453"/>
      <c r="KC5" s="453"/>
      <c r="KD5" s="392" t="s">
        <v>449</v>
      </c>
      <c r="KE5" s="453"/>
      <c r="KF5" s="453"/>
      <c r="KG5" s="453"/>
      <c r="KH5" s="453"/>
      <c r="KI5" s="453"/>
      <c r="KJ5" s="453"/>
      <c r="KK5" s="453"/>
      <c r="KL5" s="454"/>
      <c r="KM5" s="453"/>
      <c r="KN5" s="455"/>
      <c r="KO5" s="221" t="s">
        <v>450</v>
      </c>
      <c r="KP5" s="453"/>
      <c r="KQ5" s="453"/>
      <c r="KR5" s="453"/>
      <c r="KS5" s="453"/>
      <c r="KT5" s="453"/>
      <c r="KU5" s="453"/>
      <c r="KV5" s="453"/>
      <c r="KW5" s="453"/>
      <c r="KX5" s="453"/>
      <c r="KY5" s="453"/>
      <c r="KZ5" s="453"/>
      <c r="LA5" s="454"/>
      <c r="LB5" s="453"/>
      <c r="LC5" s="453"/>
      <c r="LD5" s="453"/>
      <c r="LE5" s="453"/>
      <c r="LF5" s="453"/>
      <c r="LG5" s="453"/>
      <c r="LH5" s="453"/>
      <c r="LI5" s="458"/>
      <c r="LJ5" s="458"/>
      <c r="LK5" s="458"/>
      <c r="LL5" s="453"/>
      <c r="LM5" s="421" t="s">
        <v>451</v>
      </c>
      <c r="LN5" s="453"/>
      <c r="LO5" s="453"/>
      <c r="LP5" s="453"/>
    </row>
    <row r="6" spans="1:330" ht="87.75" customHeight="1">
      <c r="A6" s="404" t="s">
        <v>11</v>
      </c>
      <c r="B6" s="518" t="s">
        <v>452</v>
      </c>
      <c r="C6" s="518" t="s">
        <v>453</v>
      </c>
      <c r="D6" s="518" t="s">
        <v>454</v>
      </c>
      <c r="E6" s="518" t="s">
        <v>455</v>
      </c>
      <c r="F6" s="518" t="s">
        <v>456</v>
      </c>
      <c r="G6" s="519" t="s">
        <v>457</v>
      </c>
      <c r="H6" s="519" t="s">
        <v>458</v>
      </c>
      <c r="I6" s="518" t="s">
        <v>459</v>
      </c>
      <c r="J6" s="518" t="s">
        <v>460</v>
      </c>
      <c r="K6" s="518" t="s">
        <v>461</v>
      </c>
      <c r="L6" s="518" t="s">
        <v>462</v>
      </c>
      <c r="M6" s="518" t="s">
        <v>463</v>
      </c>
      <c r="N6" s="518" t="s">
        <v>464</v>
      </c>
      <c r="O6" s="518" t="s">
        <v>465</v>
      </c>
      <c r="P6" s="518" t="s">
        <v>466</v>
      </c>
      <c r="Q6" s="518" t="s">
        <v>467</v>
      </c>
      <c r="R6" s="518" t="s">
        <v>468</v>
      </c>
      <c r="S6" s="518" t="s">
        <v>469</v>
      </c>
      <c r="T6" s="518" t="s">
        <v>470</v>
      </c>
      <c r="U6" s="518" t="s">
        <v>470</v>
      </c>
      <c r="V6" s="413" t="s">
        <v>471</v>
      </c>
      <c r="W6" s="413" t="s">
        <v>472</v>
      </c>
      <c r="X6" s="413" t="s">
        <v>472</v>
      </c>
      <c r="Y6" s="413" t="s">
        <v>472</v>
      </c>
      <c r="Z6" s="413" t="s">
        <v>472</v>
      </c>
      <c r="AA6" s="413" t="s">
        <v>472</v>
      </c>
      <c r="AB6" s="414" t="s">
        <v>473</v>
      </c>
      <c r="AC6" s="414" t="s">
        <v>473</v>
      </c>
      <c r="AD6" s="414" t="s">
        <v>473</v>
      </c>
      <c r="AE6" s="412" t="s">
        <v>474</v>
      </c>
      <c r="AF6" s="412" t="s">
        <v>474</v>
      </c>
      <c r="AG6" s="412" t="s">
        <v>474</v>
      </c>
      <c r="AH6" s="412" t="s">
        <v>474</v>
      </c>
      <c r="AI6" s="412" t="s">
        <v>474</v>
      </c>
      <c r="AJ6" s="413" t="s">
        <v>89</v>
      </c>
      <c r="AK6" s="413" t="s">
        <v>89</v>
      </c>
      <c r="AL6" s="520" t="s">
        <v>475</v>
      </c>
      <c r="AM6" s="520" t="s">
        <v>476</v>
      </c>
      <c r="AN6" s="520" t="s">
        <v>477</v>
      </c>
      <c r="AO6" s="520" t="s">
        <v>478</v>
      </c>
      <c r="AP6" s="520" t="s">
        <v>479</v>
      </c>
      <c r="AQ6" s="521" t="s">
        <v>480</v>
      </c>
      <c r="AR6" s="412" t="s">
        <v>481</v>
      </c>
      <c r="AS6" s="412" t="s">
        <v>481</v>
      </c>
      <c r="AT6" s="521" t="s">
        <v>482</v>
      </c>
      <c r="AU6" s="467" t="s">
        <v>480</v>
      </c>
      <c r="AV6" s="407" t="s">
        <v>483</v>
      </c>
      <c r="AW6" s="407" t="s">
        <v>484</v>
      </c>
      <c r="AX6" s="522" t="s">
        <v>485</v>
      </c>
      <c r="AY6" s="522" t="s">
        <v>486</v>
      </c>
      <c r="AZ6" s="522" t="s">
        <v>487</v>
      </c>
      <c r="BA6" s="414" t="s">
        <v>488</v>
      </c>
      <c r="BB6" s="414" t="s">
        <v>488</v>
      </c>
      <c r="BC6" s="413" t="s">
        <v>489</v>
      </c>
      <c r="BD6" s="413" t="s">
        <v>490</v>
      </c>
      <c r="BE6" s="413" t="s">
        <v>491</v>
      </c>
      <c r="BF6" s="413" t="s">
        <v>492</v>
      </c>
      <c r="BG6" s="413" t="s">
        <v>492</v>
      </c>
      <c r="BH6" s="413" t="s">
        <v>492</v>
      </c>
      <c r="BI6" s="413" t="s">
        <v>490</v>
      </c>
      <c r="BJ6" s="407" t="s">
        <v>103</v>
      </c>
      <c r="BK6" s="407" t="s">
        <v>103</v>
      </c>
      <c r="BL6" s="407" t="s">
        <v>103</v>
      </c>
      <c r="BM6" s="407" t="s">
        <v>103</v>
      </c>
      <c r="BN6" s="407" t="s">
        <v>103</v>
      </c>
      <c r="BO6" s="407" t="s">
        <v>103</v>
      </c>
      <c r="BP6" s="417" t="s">
        <v>493</v>
      </c>
      <c r="BQ6" s="417" t="s">
        <v>493</v>
      </c>
      <c r="BR6" s="416" t="s">
        <v>107</v>
      </c>
      <c r="BS6" s="411" t="s">
        <v>107</v>
      </c>
      <c r="BT6" s="411" t="s">
        <v>107</v>
      </c>
      <c r="BU6" s="523" t="s">
        <v>383</v>
      </c>
      <c r="BV6" s="523" t="s">
        <v>494</v>
      </c>
      <c r="BW6" s="417" t="s">
        <v>106</v>
      </c>
      <c r="BX6" s="417" t="s">
        <v>106</v>
      </c>
      <c r="BY6" s="415" t="s">
        <v>495</v>
      </c>
      <c r="BZ6" s="417" t="s">
        <v>102</v>
      </c>
      <c r="CA6" s="417" t="s">
        <v>102</v>
      </c>
      <c r="CB6" s="417" t="s">
        <v>102</v>
      </c>
      <c r="CC6" s="417" t="s">
        <v>102</v>
      </c>
      <c r="CD6" s="476" t="s">
        <v>496</v>
      </c>
      <c r="CE6" s="419" t="s">
        <v>497</v>
      </c>
      <c r="CF6" s="524" t="s">
        <v>18</v>
      </c>
      <c r="CG6" s="524" t="s">
        <v>18</v>
      </c>
      <c r="CH6" s="524" t="s">
        <v>18</v>
      </c>
      <c r="CI6" s="524" t="s">
        <v>18</v>
      </c>
      <c r="CJ6" s="415" t="s">
        <v>252</v>
      </c>
      <c r="CK6" s="415" t="s">
        <v>252</v>
      </c>
      <c r="CL6" s="415" t="s">
        <v>252</v>
      </c>
      <c r="CM6" s="525" t="s">
        <v>498</v>
      </c>
      <c r="CN6" s="526" t="s">
        <v>499</v>
      </c>
      <c r="CO6" s="483" t="s">
        <v>500</v>
      </c>
      <c r="CP6" s="483" t="s">
        <v>501</v>
      </c>
      <c r="CQ6" s="427" t="s">
        <v>502</v>
      </c>
      <c r="CR6" s="427" t="s">
        <v>503</v>
      </c>
      <c r="CS6" s="427" t="s">
        <v>504</v>
      </c>
      <c r="CT6" s="427" t="s">
        <v>505</v>
      </c>
      <c r="CU6" s="427" t="s">
        <v>506</v>
      </c>
      <c r="CV6" s="427" t="s">
        <v>507</v>
      </c>
      <c r="CW6" s="421" t="s">
        <v>508</v>
      </c>
      <c r="CX6" s="427" t="s">
        <v>509</v>
      </c>
      <c r="CY6" s="421" t="s">
        <v>508</v>
      </c>
      <c r="CZ6" s="421" t="s">
        <v>508</v>
      </c>
      <c r="DA6" s="421" t="s">
        <v>508</v>
      </c>
      <c r="DB6" s="421" t="s">
        <v>508</v>
      </c>
      <c r="DC6" s="421" t="s">
        <v>508</v>
      </c>
      <c r="DD6" s="425" t="s">
        <v>141</v>
      </c>
      <c r="DE6" s="425" t="s">
        <v>141</v>
      </c>
      <c r="DF6" s="425" t="s">
        <v>141</v>
      </c>
      <c r="DG6" s="425" t="s">
        <v>141</v>
      </c>
      <c r="DH6" s="425" t="s">
        <v>141</v>
      </c>
      <c r="DI6" s="426" t="s">
        <v>133</v>
      </c>
      <c r="DJ6" s="427" t="s">
        <v>510</v>
      </c>
      <c r="DK6" s="421" t="s">
        <v>511</v>
      </c>
      <c r="DL6" s="428" t="s">
        <v>512</v>
      </c>
      <c r="DM6" s="421" t="s">
        <v>513</v>
      </c>
      <c r="DN6" s="527" t="s">
        <v>514</v>
      </c>
      <c r="DO6" s="527" t="s">
        <v>515</v>
      </c>
      <c r="DP6" s="421" t="s">
        <v>516</v>
      </c>
      <c r="DQ6" s="423" t="s">
        <v>517</v>
      </c>
      <c r="DR6" s="421" t="s">
        <v>516</v>
      </c>
      <c r="DS6" s="428" t="s">
        <v>518</v>
      </c>
      <c r="DT6" s="428" t="s">
        <v>518</v>
      </c>
      <c r="DU6" s="428" t="s">
        <v>518</v>
      </c>
      <c r="DV6" s="428" t="s">
        <v>518</v>
      </c>
      <c r="DW6" s="428" t="s">
        <v>518</v>
      </c>
      <c r="DX6" s="426" t="s">
        <v>142</v>
      </c>
      <c r="DY6" s="426" t="s">
        <v>142</v>
      </c>
      <c r="DZ6" s="426" t="s">
        <v>142</v>
      </c>
      <c r="EA6" s="426" t="s">
        <v>144</v>
      </c>
      <c r="EB6" s="426" t="s">
        <v>144</v>
      </c>
      <c r="EC6" s="426" t="s">
        <v>144</v>
      </c>
      <c r="ED6" s="426" t="s">
        <v>144</v>
      </c>
      <c r="EE6" s="426" t="s">
        <v>144</v>
      </c>
      <c r="EF6" s="431" t="s">
        <v>519</v>
      </c>
      <c r="EG6" s="431" t="s">
        <v>146</v>
      </c>
      <c r="EH6" s="431" t="s">
        <v>146</v>
      </c>
      <c r="EI6" s="431" t="s">
        <v>146</v>
      </c>
      <c r="EJ6" s="431" t="s">
        <v>146</v>
      </c>
      <c r="EK6" s="426" t="s">
        <v>144</v>
      </c>
      <c r="EL6" s="426" t="s">
        <v>144</v>
      </c>
      <c r="EM6" s="431" t="s">
        <v>520</v>
      </c>
      <c r="EN6" s="427" t="s">
        <v>521</v>
      </c>
      <c r="EO6" s="427" t="s">
        <v>522</v>
      </c>
      <c r="EP6" s="427" t="s">
        <v>522</v>
      </c>
      <c r="EQ6" s="436" t="s">
        <v>523</v>
      </c>
      <c r="ER6" s="528" t="s">
        <v>524</v>
      </c>
      <c r="ES6" s="528" t="s">
        <v>525</v>
      </c>
      <c r="ET6" s="528" t="s">
        <v>526</v>
      </c>
      <c r="EU6" s="528" t="s">
        <v>527</v>
      </c>
      <c r="EV6" s="529" t="s">
        <v>528</v>
      </c>
      <c r="EW6" s="529" t="s">
        <v>529</v>
      </c>
      <c r="EX6" s="449" t="s">
        <v>530</v>
      </c>
      <c r="EY6" s="449" t="s">
        <v>530</v>
      </c>
      <c r="EZ6" s="449" t="s">
        <v>530</v>
      </c>
      <c r="FA6" s="449" t="s">
        <v>530</v>
      </c>
      <c r="FB6" s="441" t="s">
        <v>300</v>
      </c>
      <c r="FC6" s="441" t="s">
        <v>300</v>
      </c>
      <c r="FD6" s="439" t="s">
        <v>300</v>
      </c>
      <c r="FE6" s="439" t="s">
        <v>300</v>
      </c>
      <c r="FF6" s="530" t="s">
        <v>531</v>
      </c>
      <c r="FG6" s="514" t="s">
        <v>160</v>
      </c>
      <c r="FH6" s="443" t="s">
        <v>141</v>
      </c>
      <c r="FI6" s="443" t="s">
        <v>141</v>
      </c>
      <c r="FJ6" s="530" t="s">
        <v>532</v>
      </c>
      <c r="FK6" s="530" t="s">
        <v>532</v>
      </c>
      <c r="FL6" s="530" t="s">
        <v>533</v>
      </c>
      <c r="FM6" s="530" t="s">
        <v>532</v>
      </c>
      <c r="FN6" s="530" t="s">
        <v>532</v>
      </c>
      <c r="FO6" s="530" t="s">
        <v>532</v>
      </c>
      <c r="FP6" s="530" t="s">
        <v>534</v>
      </c>
      <c r="FQ6" s="531" t="s">
        <v>535</v>
      </c>
      <c r="FR6" s="458" t="s">
        <v>536</v>
      </c>
      <c r="FS6" s="458" t="s">
        <v>536</v>
      </c>
      <c r="FT6" s="458" t="s">
        <v>536</v>
      </c>
      <c r="FU6" s="530" t="s">
        <v>537</v>
      </c>
      <c r="FV6" s="435" t="s">
        <v>167</v>
      </c>
      <c r="FW6" s="435" t="s">
        <v>167</v>
      </c>
      <c r="FX6" s="530" t="s">
        <v>537</v>
      </c>
      <c r="FY6" s="530" t="s">
        <v>537</v>
      </c>
      <c r="FZ6" s="450" t="s">
        <v>169</v>
      </c>
      <c r="GA6" s="530" t="s">
        <v>537</v>
      </c>
      <c r="GB6" s="530" t="s">
        <v>537</v>
      </c>
      <c r="GC6" s="530" t="s">
        <v>537</v>
      </c>
      <c r="GD6" s="530" t="s">
        <v>537</v>
      </c>
      <c r="GE6" s="530" t="s">
        <v>537</v>
      </c>
      <c r="GF6" s="532" t="s">
        <v>141</v>
      </c>
      <c r="GG6" s="532" t="s">
        <v>141</v>
      </c>
      <c r="GH6" s="532" t="s">
        <v>141</v>
      </c>
      <c r="GI6" s="532" t="s">
        <v>141</v>
      </c>
      <c r="GJ6" s="450" t="s">
        <v>176</v>
      </c>
      <c r="GK6" s="395" t="s">
        <v>178</v>
      </c>
      <c r="GL6" s="395" t="s">
        <v>178</v>
      </c>
      <c r="GM6" s="395" t="s">
        <v>178</v>
      </c>
      <c r="GN6" s="383" t="s">
        <v>538</v>
      </c>
      <c r="GO6" s="383" t="s">
        <v>538</v>
      </c>
      <c r="GP6" s="383" t="s">
        <v>538</v>
      </c>
      <c r="GQ6" s="383" t="s">
        <v>538</v>
      </c>
      <c r="GR6" s="383" t="s">
        <v>538</v>
      </c>
      <c r="GS6" s="383" t="s">
        <v>538</v>
      </c>
      <c r="GT6" s="383" t="s">
        <v>538</v>
      </c>
      <c r="GU6" s="383" t="s">
        <v>538</v>
      </c>
      <c r="GV6" s="383" t="s">
        <v>538</v>
      </c>
      <c r="GW6" s="383" t="s">
        <v>538</v>
      </c>
      <c r="GX6" s="395" t="s">
        <v>538</v>
      </c>
      <c r="GY6" s="395" t="s">
        <v>538</v>
      </c>
      <c r="GZ6" s="395" t="s">
        <v>538</v>
      </c>
      <c r="HA6" s="449" t="s">
        <v>318</v>
      </c>
      <c r="HB6" s="449" t="s">
        <v>318</v>
      </c>
      <c r="HC6" s="530" t="s">
        <v>537</v>
      </c>
      <c r="HD6" s="530" t="s">
        <v>537</v>
      </c>
      <c r="HE6" s="530" t="s">
        <v>537</v>
      </c>
      <c r="HF6" s="530" t="s">
        <v>537</v>
      </c>
      <c r="HG6" s="530" t="s">
        <v>537</v>
      </c>
      <c r="HH6" s="530" t="s">
        <v>537</v>
      </c>
      <c r="HI6" s="530" t="s">
        <v>537</v>
      </c>
      <c r="HJ6" s="530" t="s">
        <v>537</v>
      </c>
      <c r="HK6" s="530" t="s">
        <v>537</v>
      </c>
      <c r="HL6" s="530" t="s">
        <v>537</v>
      </c>
      <c r="HM6" s="530" t="s">
        <v>537</v>
      </c>
      <c r="HN6" s="532" t="s">
        <v>141</v>
      </c>
      <c r="HO6" s="530" t="s">
        <v>539</v>
      </c>
      <c r="HP6" s="688" t="s">
        <v>440</v>
      </c>
      <c r="HQ6" s="688" t="s">
        <v>440</v>
      </c>
      <c r="HR6" s="688" t="s">
        <v>440</v>
      </c>
      <c r="HS6" s="530" t="s">
        <v>539</v>
      </c>
      <c r="HT6" s="517" t="s">
        <v>540</v>
      </c>
      <c r="HU6" s="449" t="s">
        <v>327</v>
      </c>
      <c r="HV6" s="449" t="s">
        <v>327</v>
      </c>
      <c r="HW6" s="449" t="s">
        <v>327</v>
      </c>
      <c r="HX6" s="449" t="s">
        <v>327</v>
      </c>
      <c r="HY6" s="449" t="s">
        <v>541</v>
      </c>
      <c r="HZ6" s="449" t="s">
        <v>542</v>
      </c>
      <c r="IA6" s="449" t="s">
        <v>543</v>
      </c>
      <c r="IB6" s="530" t="s">
        <v>539</v>
      </c>
      <c r="IC6" s="530" t="s">
        <v>539</v>
      </c>
      <c r="ID6" s="450" t="s">
        <v>191</v>
      </c>
      <c r="IE6" s="385" t="s">
        <v>141</v>
      </c>
      <c r="IF6" s="385" t="s">
        <v>141</v>
      </c>
      <c r="IG6" s="385" t="s">
        <v>141</v>
      </c>
      <c r="IH6" s="736" t="s">
        <v>141</v>
      </c>
      <c r="II6" s="741" t="s">
        <v>544</v>
      </c>
      <c r="IJ6" s="530" t="s">
        <v>332</v>
      </c>
      <c r="IK6" s="449" t="s">
        <v>332</v>
      </c>
      <c r="IL6" s="723" t="s">
        <v>545</v>
      </c>
      <c r="IM6" s="738" t="s">
        <v>332</v>
      </c>
      <c r="IN6" s="756" t="s">
        <v>546</v>
      </c>
      <c r="IO6" s="763" t="s">
        <v>547</v>
      </c>
      <c r="IP6" s="657" t="s">
        <v>193</v>
      </c>
      <c r="IQ6" s="719" t="s">
        <v>337</v>
      </c>
      <c r="IR6" s="719" t="s">
        <v>337</v>
      </c>
      <c r="IS6" s="719" t="s">
        <v>337</v>
      </c>
      <c r="IT6" s="111" t="s">
        <v>548</v>
      </c>
      <c r="IU6" s="689" t="s">
        <v>194</v>
      </c>
      <c r="IV6" s="725" t="s">
        <v>194</v>
      </c>
      <c r="IW6" s="725" t="s">
        <v>194</v>
      </c>
      <c r="IX6" s="725" t="s">
        <v>194</v>
      </c>
      <c r="IY6" s="725" t="s">
        <v>194</v>
      </c>
      <c r="IZ6" s="725" t="s">
        <v>194</v>
      </c>
      <c r="JA6" s="725" t="s">
        <v>194</v>
      </c>
      <c r="JB6" s="725" t="s">
        <v>194</v>
      </c>
      <c r="JC6" s="661" t="s">
        <v>195</v>
      </c>
      <c r="JD6" s="661" t="s">
        <v>195</v>
      </c>
      <c r="JE6" s="661" t="s">
        <v>195</v>
      </c>
      <c r="JF6" s="661" t="s">
        <v>195</v>
      </c>
      <c r="JG6" s="661" t="s">
        <v>195</v>
      </c>
      <c r="JH6" s="725" t="s">
        <v>447</v>
      </c>
      <c r="JI6" s="628" t="s">
        <v>195</v>
      </c>
      <c r="JJ6" s="628" t="s">
        <v>195</v>
      </c>
      <c r="JK6" s="628" t="s">
        <v>195</v>
      </c>
      <c r="JL6" s="628" t="s">
        <v>195</v>
      </c>
      <c r="JM6" s="497" t="s">
        <v>198</v>
      </c>
      <c r="JN6" s="497" t="s">
        <v>198</v>
      </c>
      <c r="JO6" s="497" t="s">
        <v>198</v>
      </c>
      <c r="JP6" s="497" t="s">
        <v>198</v>
      </c>
      <c r="JQ6" s="718" t="s">
        <v>539</v>
      </c>
      <c r="JR6" s="718" t="s">
        <v>539</v>
      </c>
      <c r="JS6" s="718" t="s">
        <v>539</v>
      </c>
      <c r="JT6" s="718" t="s">
        <v>539</v>
      </c>
      <c r="JU6" s="718" t="s">
        <v>539</v>
      </c>
      <c r="JV6" s="453" t="s">
        <v>549</v>
      </c>
      <c r="JW6" s="392" t="s">
        <v>550</v>
      </c>
      <c r="JX6" s="453"/>
      <c r="JY6" s="453"/>
      <c r="JZ6" s="453"/>
      <c r="KA6" s="453"/>
      <c r="KB6" s="453"/>
      <c r="KC6" s="453"/>
      <c r="KD6" s="453"/>
      <c r="KE6" s="453"/>
      <c r="KF6" s="453"/>
      <c r="KG6" s="453"/>
      <c r="KH6" s="453"/>
      <c r="KI6" s="453"/>
      <c r="KJ6" s="453"/>
      <c r="KK6" s="453"/>
      <c r="KL6" s="453"/>
      <c r="KM6" s="453"/>
      <c r="KN6" s="454"/>
      <c r="KO6" s="453"/>
      <c r="KP6" s="455"/>
      <c r="KQ6" s="453"/>
      <c r="KR6" s="453"/>
      <c r="KS6" s="453"/>
      <c r="KT6" s="453"/>
      <c r="KU6" s="453"/>
      <c r="KV6" s="453"/>
      <c r="KW6" s="453"/>
      <c r="KX6" s="453"/>
      <c r="KY6" s="453"/>
      <c r="KZ6" s="453"/>
      <c r="LA6" s="453"/>
      <c r="LB6" s="453"/>
      <c r="LC6" s="454"/>
      <c r="LD6" s="453"/>
      <c r="LE6" s="453"/>
      <c r="LF6" s="453"/>
      <c r="LG6" s="453"/>
      <c r="LH6" s="453"/>
      <c r="LI6" s="453"/>
      <c r="LJ6" s="453"/>
      <c r="LK6" s="453"/>
      <c r="LL6" s="533" t="s">
        <v>551</v>
      </c>
      <c r="LM6" s="458" t="s">
        <v>552</v>
      </c>
      <c r="LN6" s="458" t="s">
        <v>553</v>
      </c>
      <c r="LO6" s="428" t="s">
        <v>554</v>
      </c>
      <c r="LP6" s="428" t="s">
        <v>555</v>
      </c>
      <c r="LQ6" s="421" t="s">
        <v>556</v>
      </c>
      <c r="LR6" s="507" t="s">
        <v>557</v>
      </c>
    </row>
    <row r="7" spans="1:330" ht="86.25" customHeight="1">
      <c r="A7" s="404" t="s">
        <v>12</v>
      </c>
      <c r="B7" s="534" t="s">
        <v>558</v>
      </c>
      <c r="C7" s="534" t="s">
        <v>559</v>
      </c>
      <c r="D7" s="534" t="s">
        <v>560</v>
      </c>
      <c r="E7" s="534" t="s">
        <v>561</v>
      </c>
      <c r="F7" s="534" t="s">
        <v>562</v>
      </c>
      <c r="G7" s="535" t="s">
        <v>563</v>
      </c>
      <c r="H7" s="536" t="s">
        <v>564</v>
      </c>
      <c r="I7" s="536" t="s">
        <v>565</v>
      </c>
      <c r="J7" s="536" t="s">
        <v>566</v>
      </c>
      <c r="K7" s="536" t="s">
        <v>567</v>
      </c>
      <c r="L7" s="534" t="s">
        <v>568</v>
      </c>
      <c r="M7" s="534" t="s">
        <v>18</v>
      </c>
      <c r="N7" s="534" t="s">
        <v>569</v>
      </c>
      <c r="O7" s="534" t="s">
        <v>570</v>
      </c>
      <c r="P7" s="534" t="s">
        <v>571</v>
      </c>
      <c r="Q7" s="534" t="s">
        <v>572</v>
      </c>
      <c r="R7" s="536" t="s">
        <v>573</v>
      </c>
      <c r="S7" s="534" t="s">
        <v>574</v>
      </c>
      <c r="T7" s="534" t="s">
        <v>574</v>
      </c>
      <c r="U7" s="534" t="s">
        <v>574</v>
      </c>
      <c r="V7" s="407" t="s">
        <v>575</v>
      </c>
      <c r="W7" s="537" t="s">
        <v>576</v>
      </c>
      <c r="X7" s="538" t="s">
        <v>577</v>
      </c>
      <c r="Y7" s="412" t="s">
        <v>578</v>
      </c>
      <c r="Z7" s="412" t="s">
        <v>579</v>
      </c>
      <c r="AA7" s="412" t="s">
        <v>578</v>
      </c>
      <c r="AB7" s="407" t="s">
        <v>578</v>
      </c>
      <c r="AC7" s="407" t="s">
        <v>578</v>
      </c>
      <c r="AD7" s="407" t="s">
        <v>578</v>
      </c>
      <c r="AE7" s="407" t="s">
        <v>578</v>
      </c>
      <c r="AF7" s="407" t="s">
        <v>578</v>
      </c>
      <c r="AG7" s="539" t="s">
        <v>580</v>
      </c>
      <c r="AH7" s="539" t="s">
        <v>580</v>
      </c>
      <c r="AI7" s="540" t="s">
        <v>580</v>
      </c>
      <c r="AJ7" s="413" t="s">
        <v>89</v>
      </c>
      <c r="AK7" s="413" t="s">
        <v>89</v>
      </c>
      <c r="AL7" s="541" t="s">
        <v>581</v>
      </c>
      <c r="AM7" s="542" t="s">
        <v>581</v>
      </c>
      <c r="AN7" s="408" t="s">
        <v>582</v>
      </c>
      <c r="AO7" s="521" t="s">
        <v>583</v>
      </c>
      <c r="AP7" s="408" t="s">
        <v>584</v>
      </c>
      <c r="AQ7" s="408" t="s">
        <v>585</v>
      </c>
      <c r="AR7" s="408" t="s">
        <v>586</v>
      </c>
      <c r="AS7" s="408" t="s">
        <v>587</v>
      </c>
      <c r="AT7" s="408" t="s">
        <v>587</v>
      </c>
      <c r="AU7" s="408" t="s">
        <v>588</v>
      </c>
      <c r="AV7" s="412" t="s">
        <v>484</v>
      </c>
      <c r="AW7" s="412" t="s">
        <v>589</v>
      </c>
      <c r="AX7" s="414" t="s">
        <v>590</v>
      </c>
      <c r="AY7" s="414" t="s">
        <v>590</v>
      </c>
      <c r="AZ7" s="414" t="s">
        <v>590</v>
      </c>
      <c r="BA7" s="414" t="s">
        <v>591</v>
      </c>
      <c r="BB7" s="414" t="s">
        <v>591</v>
      </c>
      <c r="BC7" s="413" t="s">
        <v>592</v>
      </c>
      <c r="BD7" s="413" t="s">
        <v>592</v>
      </c>
      <c r="BE7" s="413" t="s">
        <v>592</v>
      </c>
      <c r="BF7" s="413" t="s">
        <v>593</v>
      </c>
      <c r="BG7" s="413" t="s">
        <v>593</v>
      </c>
      <c r="BH7" s="413" t="s">
        <v>593</v>
      </c>
      <c r="BI7" s="413" t="s">
        <v>593</v>
      </c>
      <c r="BJ7" s="414" t="s">
        <v>594</v>
      </c>
      <c r="BK7" s="417" t="s">
        <v>595</v>
      </c>
      <c r="BL7" s="417" t="s">
        <v>595</v>
      </c>
      <c r="BM7" s="417" t="s">
        <v>595</v>
      </c>
      <c r="BN7" s="415" t="s">
        <v>102</v>
      </c>
      <c r="BO7" s="415" t="s">
        <v>102</v>
      </c>
      <c r="BP7" s="543" t="s">
        <v>596</v>
      </c>
      <c r="BQ7" s="543" t="s">
        <v>596</v>
      </c>
      <c r="BR7" s="415" t="s">
        <v>102</v>
      </c>
      <c r="BS7" s="415" t="s">
        <v>102</v>
      </c>
      <c r="BT7" s="415" t="s">
        <v>597</v>
      </c>
      <c r="BU7" s="523" t="s">
        <v>383</v>
      </c>
      <c r="BV7" s="417" t="s">
        <v>598</v>
      </c>
      <c r="BW7" s="417" t="s">
        <v>599</v>
      </c>
      <c r="BX7" s="417" t="s">
        <v>599</v>
      </c>
      <c r="BY7" s="419" t="s">
        <v>600</v>
      </c>
      <c r="BZ7" s="418" t="s">
        <v>601</v>
      </c>
      <c r="CA7" s="419" t="s">
        <v>602</v>
      </c>
      <c r="CB7" s="418" t="s">
        <v>601</v>
      </c>
      <c r="CC7" s="418" t="s">
        <v>601</v>
      </c>
      <c r="CD7" s="418" t="s">
        <v>601</v>
      </c>
      <c r="CE7" s="525" t="s">
        <v>603</v>
      </c>
      <c r="CF7" s="525" t="s">
        <v>603</v>
      </c>
      <c r="CG7" s="525" t="s">
        <v>604</v>
      </c>
      <c r="CH7" s="419" t="s">
        <v>605</v>
      </c>
      <c r="CI7" s="544" t="s">
        <v>606</v>
      </c>
      <c r="CJ7" s="418" t="s">
        <v>607</v>
      </c>
      <c r="CK7" s="418" t="s">
        <v>607</v>
      </c>
      <c r="CL7" s="418" t="s">
        <v>607</v>
      </c>
      <c r="CM7" s="418" t="s">
        <v>607</v>
      </c>
      <c r="CN7" s="545" t="s">
        <v>18</v>
      </c>
      <c r="CO7" s="487" t="s">
        <v>390</v>
      </c>
      <c r="CP7" s="422" t="s">
        <v>607</v>
      </c>
      <c r="CQ7" s="422" t="s">
        <v>607</v>
      </c>
      <c r="CR7" s="422" t="s">
        <v>607</v>
      </c>
      <c r="CS7" s="422" t="s">
        <v>607</v>
      </c>
      <c r="CT7" s="427" t="s">
        <v>608</v>
      </c>
      <c r="CU7" s="422" t="s">
        <v>609</v>
      </c>
      <c r="CV7" s="422" t="s">
        <v>609</v>
      </c>
      <c r="CW7" s="422" t="s">
        <v>609</v>
      </c>
      <c r="CX7" s="422" t="s">
        <v>609</v>
      </c>
      <c r="CY7" s="507" t="s">
        <v>610</v>
      </c>
      <c r="CZ7" s="507" t="s">
        <v>610</v>
      </c>
      <c r="DA7" s="507" t="s">
        <v>610</v>
      </c>
      <c r="DB7" s="507" t="s">
        <v>611</v>
      </c>
      <c r="DC7" s="507" t="s">
        <v>611</v>
      </c>
      <c r="DD7" s="507" t="s">
        <v>612</v>
      </c>
      <c r="DE7" s="507" t="s">
        <v>612</v>
      </c>
      <c r="DF7" s="427" t="s">
        <v>613</v>
      </c>
      <c r="DG7" s="427" t="s">
        <v>613</v>
      </c>
      <c r="DH7" s="427" t="s">
        <v>613</v>
      </c>
      <c r="DI7" s="430" t="s">
        <v>614</v>
      </c>
      <c r="DJ7" s="426" t="s">
        <v>133</v>
      </c>
      <c r="DK7" s="427" t="s">
        <v>615</v>
      </c>
      <c r="DL7" s="421" t="s">
        <v>616</v>
      </c>
      <c r="DM7" s="421" t="s">
        <v>616</v>
      </c>
      <c r="DN7" s="421" t="s">
        <v>617</v>
      </c>
      <c r="DO7" s="421" t="s">
        <v>617</v>
      </c>
      <c r="DP7" s="421" t="s">
        <v>618</v>
      </c>
      <c r="DQ7" s="507" t="s">
        <v>619</v>
      </c>
      <c r="DR7" s="477" t="s">
        <v>620</v>
      </c>
      <c r="DS7" s="546" t="s">
        <v>141</v>
      </c>
      <c r="DT7" s="546" t="s">
        <v>141</v>
      </c>
      <c r="DU7" s="546" t="s">
        <v>141</v>
      </c>
      <c r="DV7" s="547" t="s">
        <v>621</v>
      </c>
      <c r="DW7" s="477" t="s">
        <v>622</v>
      </c>
      <c r="DX7" s="426" t="s">
        <v>142</v>
      </c>
      <c r="DY7" s="426" t="s">
        <v>142</v>
      </c>
      <c r="DZ7" s="426" t="s">
        <v>142</v>
      </c>
      <c r="EA7" s="426" t="s">
        <v>144</v>
      </c>
      <c r="EB7" s="426" t="s">
        <v>144</v>
      </c>
      <c r="EC7" s="426" t="s">
        <v>144</v>
      </c>
      <c r="ED7" s="426" t="s">
        <v>144</v>
      </c>
      <c r="EE7" s="426" t="s">
        <v>144</v>
      </c>
      <c r="EF7" s="426" t="s">
        <v>144</v>
      </c>
      <c r="EG7" s="510" t="s">
        <v>141</v>
      </c>
      <c r="EH7" s="426" t="s">
        <v>144</v>
      </c>
      <c r="EI7" s="430" t="s">
        <v>144</v>
      </c>
      <c r="EJ7" s="426" t="s">
        <v>144</v>
      </c>
      <c r="EK7" s="426" t="s">
        <v>144</v>
      </c>
      <c r="EL7" s="426" t="s">
        <v>144</v>
      </c>
      <c r="EM7" s="430" t="s">
        <v>144</v>
      </c>
      <c r="EN7" s="427" t="s">
        <v>623</v>
      </c>
      <c r="EO7" s="427" t="s">
        <v>624</v>
      </c>
      <c r="EP7" s="427" t="s">
        <v>625</v>
      </c>
      <c r="EQ7" s="427" t="s">
        <v>626</v>
      </c>
      <c r="ER7" s="548" t="s">
        <v>627</v>
      </c>
      <c r="ES7" s="548" t="s">
        <v>627</v>
      </c>
      <c r="ET7" s="548" t="s">
        <v>627</v>
      </c>
      <c r="EU7" s="548" t="s">
        <v>627</v>
      </c>
      <c r="EV7" s="548" t="s">
        <v>627</v>
      </c>
      <c r="EW7" s="427" t="s">
        <v>628</v>
      </c>
      <c r="EX7" s="548" t="s">
        <v>627</v>
      </c>
      <c r="EY7" s="427" t="s">
        <v>418</v>
      </c>
      <c r="EZ7" s="516" t="s">
        <v>629</v>
      </c>
      <c r="FA7" s="516" t="s">
        <v>629</v>
      </c>
      <c r="FB7" s="549" t="s">
        <v>630</v>
      </c>
      <c r="FC7" s="550"/>
      <c r="FD7" s="516" t="s">
        <v>631</v>
      </c>
      <c r="FE7" s="428" t="s">
        <v>632</v>
      </c>
      <c r="FF7" s="428" t="s">
        <v>632</v>
      </c>
      <c r="FG7" s="490" t="s">
        <v>160</v>
      </c>
      <c r="FH7" s="428" t="s">
        <v>632</v>
      </c>
      <c r="FI7" s="428" t="s">
        <v>632</v>
      </c>
      <c r="FJ7" s="428" t="s">
        <v>633</v>
      </c>
      <c r="FK7" s="428" t="s">
        <v>632</v>
      </c>
      <c r="FL7" s="549" t="s">
        <v>634</v>
      </c>
      <c r="FM7" s="549" t="s">
        <v>634</v>
      </c>
      <c r="FN7" s="549" t="s">
        <v>634</v>
      </c>
      <c r="FO7" s="551" t="s">
        <v>635</v>
      </c>
      <c r="FP7" s="549" t="s">
        <v>634</v>
      </c>
      <c r="FQ7" s="489" t="s">
        <v>636</v>
      </c>
      <c r="FR7" s="489" t="s">
        <v>637</v>
      </c>
      <c r="FS7" s="489" t="s">
        <v>636</v>
      </c>
      <c r="FT7" s="489" t="s">
        <v>636</v>
      </c>
      <c r="FU7" s="489" t="s">
        <v>636</v>
      </c>
      <c r="FV7" s="435" t="s">
        <v>167</v>
      </c>
      <c r="FW7" s="435" t="s">
        <v>167</v>
      </c>
      <c r="FX7" s="489" t="s">
        <v>638</v>
      </c>
      <c r="FY7" s="489" t="s">
        <v>638</v>
      </c>
      <c r="FZ7" s="450" t="s">
        <v>169</v>
      </c>
      <c r="GA7" s="489" t="s">
        <v>639</v>
      </c>
      <c r="GB7" s="489" t="s">
        <v>639</v>
      </c>
      <c r="GC7" s="489" t="s">
        <v>639</v>
      </c>
      <c r="GD7" s="443" t="s">
        <v>141</v>
      </c>
      <c r="GE7" s="443" t="s">
        <v>141</v>
      </c>
      <c r="GF7" s="443" t="s">
        <v>141</v>
      </c>
      <c r="GG7" s="489" t="s">
        <v>639</v>
      </c>
      <c r="GH7" s="489" t="s">
        <v>639</v>
      </c>
      <c r="GI7" s="489" t="s">
        <v>639</v>
      </c>
      <c r="GJ7" s="450" t="s">
        <v>176</v>
      </c>
      <c r="GK7" s="395" t="s">
        <v>178</v>
      </c>
      <c r="GL7" s="395" t="s">
        <v>178</v>
      </c>
      <c r="GM7" s="395" t="s">
        <v>178</v>
      </c>
      <c r="GN7" s="383" t="s">
        <v>640</v>
      </c>
      <c r="GO7" s="383" t="s">
        <v>640</v>
      </c>
      <c r="GP7" s="383" t="s">
        <v>640</v>
      </c>
      <c r="GQ7" s="383" t="s">
        <v>640</v>
      </c>
      <c r="GR7" s="395" t="s">
        <v>640</v>
      </c>
      <c r="GS7" s="395" t="s">
        <v>640</v>
      </c>
      <c r="GT7" s="395" t="s">
        <v>640</v>
      </c>
      <c r="GU7" s="552" t="s">
        <v>641</v>
      </c>
      <c r="GV7" s="449" t="s">
        <v>642</v>
      </c>
      <c r="GW7" s="449" t="s">
        <v>642</v>
      </c>
      <c r="GX7" s="449" t="s">
        <v>642</v>
      </c>
      <c r="GY7" s="449" t="s">
        <v>642</v>
      </c>
      <c r="GZ7" s="449" t="s">
        <v>642</v>
      </c>
      <c r="HA7" s="449" t="s">
        <v>643</v>
      </c>
      <c r="HB7" s="449" t="s">
        <v>643</v>
      </c>
      <c r="HC7" s="449" t="s">
        <v>643</v>
      </c>
      <c r="HD7" s="449" t="s">
        <v>643</v>
      </c>
      <c r="HE7" s="532" t="s">
        <v>141</v>
      </c>
      <c r="HF7" s="532" t="s">
        <v>141</v>
      </c>
      <c r="HG7" s="532" t="s">
        <v>141</v>
      </c>
      <c r="HH7" s="532" t="s">
        <v>141</v>
      </c>
      <c r="HI7" s="532" t="s">
        <v>141</v>
      </c>
      <c r="HJ7" s="532" t="s">
        <v>141</v>
      </c>
      <c r="HK7" s="532" t="s">
        <v>141</v>
      </c>
      <c r="HL7" s="532" t="s">
        <v>141</v>
      </c>
      <c r="HM7" s="532" t="s">
        <v>141</v>
      </c>
      <c r="HN7" s="662" t="s">
        <v>141</v>
      </c>
      <c r="HO7" s="662" t="s">
        <v>141</v>
      </c>
      <c r="HP7" s="662" t="s">
        <v>141</v>
      </c>
      <c r="HQ7" s="662" t="s">
        <v>141</v>
      </c>
      <c r="HR7" s="662" t="s">
        <v>141</v>
      </c>
      <c r="HS7" s="662" t="s">
        <v>141</v>
      </c>
      <c r="HT7" s="693" t="s">
        <v>440</v>
      </c>
      <c r="HU7" s="693" t="s">
        <v>440</v>
      </c>
      <c r="HV7" s="449" t="s">
        <v>327</v>
      </c>
      <c r="HW7" s="449" t="s">
        <v>327</v>
      </c>
      <c r="HX7" s="449" t="s">
        <v>327</v>
      </c>
      <c r="HY7" s="449" t="s">
        <v>327</v>
      </c>
      <c r="HZ7" s="449" t="s">
        <v>327</v>
      </c>
      <c r="IA7" s="449" t="s">
        <v>644</v>
      </c>
      <c r="IB7" s="449" t="s">
        <v>644</v>
      </c>
      <c r="IC7" s="449" t="s">
        <v>644</v>
      </c>
      <c r="ID7" s="450" t="s">
        <v>191</v>
      </c>
      <c r="IE7" s="491" t="s">
        <v>645</v>
      </c>
      <c r="IF7" s="713" t="s">
        <v>646</v>
      </c>
      <c r="IG7" s="553" t="s">
        <v>141</v>
      </c>
      <c r="IH7" s="553" t="s">
        <v>141</v>
      </c>
      <c r="II7" s="737" t="s">
        <v>647</v>
      </c>
      <c r="IJ7" s="724"/>
      <c r="IK7" s="657" t="s">
        <v>193</v>
      </c>
      <c r="IL7" s="489" t="s">
        <v>648</v>
      </c>
      <c r="IM7" s="515" t="s">
        <v>649</v>
      </c>
      <c r="IN7" s="657" t="s">
        <v>193</v>
      </c>
      <c r="IO7" s="661" t="s">
        <v>650</v>
      </c>
      <c r="IP7" s="661" t="s">
        <v>650</v>
      </c>
      <c r="IQ7" s="719" t="s">
        <v>337</v>
      </c>
      <c r="IR7" s="719" t="s">
        <v>337</v>
      </c>
      <c r="IS7" s="705"/>
      <c r="IT7" s="776" t="s">
        <v>651</v>
      </c>
      <c r="IU7" s="776" t="s">
        <v>651</v>
      </c>
      <c r="IV7" s="729" t="s">
        <v>652</v>
      </c>
      <c r="IW7" s="776" t="s">
        <v>651</v>
      </c>
      <c r="IX7" s="776" t="s">
        <v>651</v>
      </c>
      <c r="IY7" s="661" t="s">
        <v>196</v>
      </c>
      <c r="IZ7" s="661" t="s">
        <v>195</v>
      </c>
      <c r="JA7" s="661" t="s">
        <v>195</v>
      </c>
      <c r="JB7" s="661" t="s">
        <v>195</v>
      </c>
      <c r="JC7" s="661" t="s">
        <v>195</v>
      </c>
      <c r="JD7" s="661" t="s">
        <v>195</v>
      </c>
      <c r="JE7" s="661" t="s">
        <v>195</v>
      </c>
      <c r="JF7" s="449" t="s">
        <v>651</v>
      </c>
      <c r="JG7" s="449" t="s">
        <v>651</v>
      </c>
      <c r="JH7" s="449" t="s">
        <v>651</v>
      </c>
      <c r="JI7" s="449" t="s">
        <v>651</v>
      </c>
      <c r="JJ7" s="794" t="s">
        <v>653</v>
      </c>
      <c r="JK7" s="449" t="s">
        <v>651</v>
      </c>
      <c r="JL7" s="692" t="s">
        <v>654</v>
      </c>
      <c r="JM7" s="692" t="s">
        <v>654</v>
      </c>
      <c r="JN7" s="692" t="s">
        <v>654</v>
      </c>
      <c r="JO7" s="692" t="s">
        <v>654</v>
      </c>
      <c r="JP7" s="692" t="s">
        <v>654</v>
      </c>
      <c r="JQ7" s="692" t="s">
        <v>654</v>
      </c>
      <c r="JR7" s="692" t="s">
        <v>654</v>
      </c>
      <c r="JS7" s="692" t="s">
        <v>654</v>
      </c>
      <c r="JT7" s="692" t="s">
        <v>654</v>
      </c>
      <c r="JU7" s="692" t="s">
        <v>654</v>
      </c>
      <c r="JV7" s="692" t="s">
        <v>654</v>
      </c>
      <c r="JW7" s="692" t="s">
        <v>654</v>
      </c>
      <c r="JX7" s="692" t="s">
        <v>654</v>
      </c>
      <c r="JY7" s="692" t="s">
        <v>654</v>
      </c>
      <c r="JZ7" s="692" t="s">
        <v>654</v>
      </c>
      <c r="KA7" s="692"/>
      <c r="KB7" s="692"/>
      <c r="KC7" s="692"/>
      <c r="KD7" s="692"/>
      <c r="KE7" s="692"/>
      <c r="KF7" s="692"/>
      <c r="KG7" s="692"/>
      <c r="KH7" s="453"/>
      <c r="KI7" s="692"/>
      <c r="KJ7" s="453"/>
      <c r="KK7" s="453"/>
      <c r="KL7" s="453"/>
      <c r="KM7" s="453"/>
      <c r="KN7" s="454"/>
      <c r="KO7" s="453"/>
      <c r="KP7" s="455"/>
      <c r="KQ7" s="453"/>
      <c r="KR7" s="453"/>
      <c r="KS7" s="453"/>
      <c r="KT7" s="453"/>
      <c r="KU7" s="453"/>
      <c r="KV7" s="453"/>
      <c r="KW7" s="453"/>
      <c r="KX7" s="453"/>
      <c r="KY7" s="221" t="s">
        <v>655</v>
      </c>
      <c r="KZ7" s="453"/>
      <c r="LA7" s="453"/>
      <c r="LB7" s="453"/>
      <c r="LC7" s="454"/>
      <c r="LD7" s="453"/>
      <c r="LE7" s="453"/>
      <c r="LF7" s="453"/>
      <c r="LG7" s="453"/>
      <c r="LH7" s="453"/>
      <c r="LI7" s="453"/>
      <c r="LJ7" s="453"/>
      <c r="LK7" s="458"/>
      <c r="LL7" s="554" t="s">
        <v>656</v>
      </c>
      <c r="LM7" s="554" t="s">
        <v>656</v>
      </c>
      <c r="LN7" s="453"/>
      <c r="LO7" s="453"/>
      <c r="LP7" s="453"/>
      <c r="LQ7" s="453"/>
      <c r="LR7" s="453"/>
    </row>
    <row r="8" spans="1:330" ht="123.75" customHeight="1">
      <c r="A8" s="555" t="s">
        <v>13</v>
      </c>
      <c r="B8" s="556" t="s">
        <v>657</v>
      </c>
      <c r="C8" s="556" t="s">
        <v>658</v>
      </c>
      <c r="D8" s="556" t="s">
        <v>659</v>
      </c>
      <c r="E8" s="556" t="s">
        <v>660</v>
      </c>
      <c r="F8" s="556" t="s">
        <v>661</v>
      </c>
      <c r="G8" s="556" t="s">
        <v>662</v>
      </c>
      <c r="H8" s="556" t="s">
        <v>663</v>
      </c>
      <c r="I8" s="556" t="s">
        <v>662</v>
      </c>
      <c r="J8" s="556" t="s">
        <v>664</v>
      </c>
      <c r="K8" s="556" t="s">
        <v>665</v>
      </c>
      <c r="L8" s="556" t="s">
        <v>666</v>
      </c>
      <c r="M8" s="556" t="s">
        <v>667</v>
      </c>
      <c r="N8" s="556" t="s">
        <v>668</v>
      </c>
      <c r="O8" s="556" t="s">
        <v>669</v>
      </c>
      <c r="P8" s="556" t="s">
        <v>670</v>
      </c>
      <c r="Q8" s="556" t="s">
        <v>671</v>
      </c>
      <c r="R8" s="556" t="s">
        <v>672</v>
      </c>
      <c r="S8" s="556" t="s">
        <v>673</v>
      </c>
      <c r="T8" s="556" t="s">
        <v>674</v>
      </c>
      <c r="U8" s="556" t="s">
        <v>18</v>
      </c>
      <c r="V8" s="557" t="s">
        <v>675</v>
      </c>
      <c r="W8" s="558" t="s">
        <v>676</v>
      </c>
      <c r="X8" s="557" t="s">
        <v>677</v>
      </c>
      <c r="Y8" s="558" t="s">
        <v>678</v>
      </c>
      <c r="Z8" s="559" t="s">
        <v>679</v>
      </c>
      <c r="AA8" s="559" t="s">
        <v>680</v>
      </c>
      <c r="AB8" s="560" t="s">
        <v>681</v>
      </c>
      <c r="AC8" s="560" t="s">
        <v>682</v>
      </c>
      <c r="AD8" s="561" t="s">
        <v>683</v>
      </c>
      <c r="AE8" s="559" t="s">
        <v>684</v>
      </c>
      <c r="AF8" s="559" t="s">
        <v>684</v>
      </c>
      <c r="AG8" s="559" t="s">
        <v>685</v>
      </c>
      <c r="AH8" s="559" t="s">
        <v>686</v>
      </c>
      <c r="AI8" s="559" t="s">
        <v>686</v>
      </c>
      <c r="AJ8" s="558" t="s">
        <v>89</v>
      </c>
      <c r="AK8" s="558" t="s">
        <v>89</v>
      </c>
      <c r="AL8" s="559" t="s">
        <v>685</v>
      </c>
      <c r="AM8" s="562" t="s">
        <v>687</v>
      </c>
      <c r="AN8" s="559" t="s">
        <v>688</v>
      </c>
      <c r="AO8" s="559" t="s">
        <v>689</v>
      </c>
      <c r="AP8" s="558" t="s">
        <v>18</v>
      </c>
      <c r="AQ8" s="558" t="s">
        <v>18</v>
      </c>
      <c r="AR8" s="558" t="s">
        <v>18</v>
      </c>
      <c r="AS8" s="558" t="s">
        <v>18</v>
      </c>
      <c r="AT8" s="558" t="s">
        <v>18</v>
      </c>
      <c r="AU8" s="558" t="s">
        <v>18</v>
      </c>
      <c r="AV8" s="563" t="s">
        <v>18</v>
      </c>
      <c r="AW8" s="563" t="s">
        <v>18</v>
      </c>
      <c r="AX8" s="563" t="s">
        <v>18</v>
      </c>
      <c r="AY8" s="563" t="s">
        <v>18</v>
      </c>
      <c r="AZ8" s="563" t="s">
        <v>18</v>
      </c>
      <c r="BA8" s="564" t="s">
        <v>690</v>
      </c>
      <c r="BB8" s="564" t="s">
        <v>690</v>
      </c>
      <c r="BC8" s="564" t="s">
        <v>690</v>
      </c>
      <c r="BD8" s="564" t="s">
        <v>690</v>
      </c>
      <c r="BE8" s="564" t="s">
        <v>690</v>
      </c>
      <c r="BF8" s="564" t="s">
        <v>691</v>
      </c>
      <c r="BG8" s="564" t="s">
        <v>691</v>
      </c>
      <c r="BH8" s="564" t="s">
        <v>691</v>
      </c>
      <c r="BI8" s="564" t="s">
        <v>691</v>
      </c>
      <c r="BJ8" s="564" t="s">
        <v>691</v>
      </c>
      <c r="BK8" s="565" t="s">
        <v>692</v>
      </c>
      <c r="BL8" s="565" t="s">
        <v>692</v>
      </c>
      <c r="BM8" s="566" t="s">
        <v>693</v>
      </c>
      <c r="BN8" s="566" t="s">
        <v>693</v>
      </c>
      <c r="BO8" s="567" t="s">
        <v>102</v>
      </c>
      <c r="BP8" s="568" t="s">
        <v>694</v>
      </c>
      <c r="BQ8" s="567" t="s">
        <v>694</v>
      </c>
      <c r="BR8" s="567" t="s">
        <v>102</v>
      </c>
      <c r="BS8" s="567" t="s">
        <v>102</v>
      </c>
      <c r="BT8" s="567" t="s">
        <v>102</v>
      </c>
      <c r="BU8" s="569" t="s">
        <v>383</v>
      </c>
      <c r="BV8" s="570" t="s">
        <v>250</v>
      </c>
      <c r="BW8" s="567" t="s">
        <v>102</v>
      </c>
      <c r="BX8" s="567" t="s">
        <v>695</v>
      </c>
      <c r="BY8" s="567" t="s">
        <v>695</v>
      </c>
      <c r="BZ8" s="567" t="s">
        <v>695</v>
      </c>
      <c r="CA8" s="567" t="s">
        <v>695</v>
      </c>
      <c r="CB8" s="571" t="s">
        <v>696</v>
      </c>
      <c r="CC8" s="571" t="s">
        <v>696</v>
      </c>
      <c r="CD8" s="571" t="s">
        <v>696</v>
      </c>
      <c r="CE8" s="572" t="s">
        <v>18</v>
      </c>
      <c r="CF8" s="572" t="s">
        <v>18</v>
      </c>
      <c r="CG8" s="571" t="s">
        <v>696</v>
      </c>
      <c r="CH8" s="573" t="s">
        <v>18</v>
      </c>
      <c r="CI8" s="573" t="s">
        <v>18</v>
      </c>
      <c r="CJ8" s="570" t="s">
        <v>697</v>
      </c>
      <c r="CK8" s="574" t="s">
        <v>698</v>
      </c>
      <c r="CL8" s="575" t="s">
        <v>252</v>
      </c>
      <c r="CM8" s="571" t="s">
        <v>252</v>
      </c>
      <c r="CN8" s="576" t="s">
        <v>252</v>
      </c>
      <c r="CO8" s="483" t="s">
        <v>699</v>
      </c>
      <c r="CP8" s="427" t="s">
        <v>700</v>
      </c>
      <c r="CQ8" s="427" t="s">
        <v>701</v>
      </c>
      <c r="CR8" s="577" t="s">
        <v>687</v>
      </c>
      <c r="CS8" s="577" t="s">
        <v>687</v>
      </c>
      <c r="CT8" s="577" t="s">
        <v>687</v>
      </c>
      <c r="CU8" s="577" t="s">
        <v>702</v>
      </c>
      <c r="CV8" s="421" t="s">
        <v>703</v>
      </c>
      <c r="CW8" s="421" t="s">
        <v>27</v>
      </c>
      <c r="CX8" s="421" t="s">
        <v>704</v>
      </c>
      <c r="CY8" s="421" t="s">
        <v>705</v>
      </c>
      <c r="CZ8" s="578" t="s">
        <v>706</v>
      </c>
      <c r="DA8" s="421" t="s">
        <v>707</v>
      </c>
      <c r="DB8" s="421" t="s">
        <v>707</v>
      </c>
      <c r="DC8" s="578" t="s">
        <v>706</v>
      </c>
      <c r="DD8" s="578" t="s">
        <v>706</v>
      </c>
      <c r="DE8" s="578" t="s">
        <v>706</v>
      </c>
      <c r="DF8" s="578" t="s">
        <v>706</v>
      </c>
      <c r="DG8" s="578" t="s">
        <v>706</v>
      </c>
      <c r="DH8" s="578" t="s">
        <v>706</v>
      </c>
      <c r="DI8" s="426" t="s">
        <v>133</v>
      </c>
      <c r="DJ8" s="579" t="s">
        <v>708</v>
      </c>
      <c r="DK8" s="421" t="s">
        <v>709</v>
      </c>
      <c r="DL8" s="421" t="s">
        <v>710</v>
      </c>
      <c r="DM8" s="421" t="s">
        <v>711</v>
      </c>
      <c r="DN8" s="578" t="s">
        <v>18</v>
      </c>
      <c r="DO8" s="578" t="s">
        <v>18</v>
      </c>
      <c r="DP8" s="578" t="s">
        <v>18</v>
      </c>
      <c r="DQ8" s="578" t="s">
        <v>18</v>
      </c>
      <c r="DR8" s="578" t="s">
        <v>18</v>
      </c>
      <c r="DS8" s="578" t="s">
        <v>18</v>
      </c>
      <c r="DT8" s="578" t="s">
        <v>18</v>
      </c>
      <c r="DU8" s="578" t="s">
        <v>18</v>
      </c>
      <c r="DV8" s="578" t="s">
        <v>18</v>
      </c>
      <c r="DW8" s="580" t="s">
        <v>712</v>
      </c>
      <c r="DX8" s="581" t="s">
        <v>142</v>
      </c>
      <c r="DY8" s="581" t="s">
        <v>142</v>
      </c>
      <c r="DZ8" s="581" t="s">
        <v>142</v>
      </c>
      <c r="EA8" s="581" t="s">
        <v>144</v>
      </c>
      <c r="EB8" s="581" t="s">
        <v>144</v>
      </c>
      <c r="EC8" s="581" t="s">
        <v>144</v>
      </c>
      <c r="ED8" s="581" t="s">
        <v>144</v>
      </c>
      <c r="EE8" s="581" t="s">
        <v>144</v>
      </c>
      <c r="EF8" s="581" t="s">
        <v>144</v>
      </c>
      <c r="EG8" s="581" t="s">
        <v>144</v>
      </c>
      <c r="EH8" s="581" t="s">
        <v>144</v>
      </c>
      <c r="EI8" s="581" t="s">
        <v>144</v>
      </c>
      <c r="EJ8" s="581" t="s">
        <v>144</v>
      </c>
      <c r="EK8" s="581" t="s">
        <v>144</v>
      </c>
      <c r="EL8" s="581" t="s">
        <v>144</v>
      </c>
      <c r="EM8" s="582" t="s">
        <v>713</v>
      </c>
      <c r="EN8" s="582" t="s">
        <v>714</v>
      </c>
      <c r="EO8" s="582" t="s">
        <v>715</v>
      </c>
      <c r="EP8" s="582" t="s">
        <v>716</v>
      </c>
      <c r="EQ8" s="583" t="s">
        <v>717</v>
      </c>
      <c r="ER8" s="584" t="s">
        <v>718</v>
      </c>
      <c r="ES8" s="584" t="s">
        <v>718</v>
      </c>
      <c r="ET8" s="585" t="s">
        <v>719</v>
      </c>
      <c r="EU8" s="586" t="s">
        <v>719</v>
      </c>
      <c r="EV8" s="585" t="s">
        <v>719</v>
      </c>
      <c r="EW8" s="587" t="s">
        <v>720</v>
      </c>
      <c r="EX8" s="588"/>
      <c r="EY8" s="588"/>
      <c r="EZ8" s="588"/>
      <c r="FA8" s="588"/>
      <c r="FB8" s="589" t="s">
        <v>300</v>
      </c>
      <c r="FC8" s="589" t="s">
        <v>300</v>
      </c>
      <c r="FD8" s="588"/>
      <c r="FE8" s="585" t="s">
        <v>719</v>
      </c>
      <c r="FF8" s="585" t="s">
        <v>719</v>
      </c>
      <c r="FG8" s="590" t="s">
        <v>160</v>
      </c>
      <c r="FH8" s="591"/>
      <c r="FI8" s="591"/>
      <c r="FJ8" s="591"/>
      <c r="FK8" s="591"/>
      <c r="FL8" s="592"/>
      <c r="FM8" s="593" t="s">
        <v>717</v>
      </c>
      <c r="FN8" s="585" t="s">
        <v>719</v>
      </c>
      <c r="FO8" s="585" t="s">
        <v>719</v>
      </c>
      <c r="FP8" s="594" t="s">
        <v>719</v>
      </c>
      <c r="FQ8" s="595" t="s">
        <v>721</v>
      </c>
      <c r="FR8" s="595" t="s">
        <v>721</v>
      </c>
      <c r="FS8" s="585" t="s">
        <v>722</v>
      </c>
      <c r="FT8" s="585" t="s">
        <v>722</v>
      </c>
      <c r="FU8" s="585" t="s">
        <v>722</v>
      </c>
      <c r="FV8" s="596" t="s">
        <v>167</v>
      </c>
      <c r="FW8" s="596" t="s">
        <v>167</v>
      </c>
      <c r="FX8" s="585" t="s">
        <v>723</v>
      </c>
      <c r="FY8" s="585" t="s">
        <v>723</v>
      </c>
      <c r="FZ8" s="597" t="s">
        <v>169</v>
      </c>
      <c r="GA8" s="585" t="s">
        <v>723</v>
      </c>
      <c r="GB8" s="585" t="s">
        <v>723</v>
      </c>
      <c r="GC8" s="585" t="s">
        <v>723</v>
      </c>
      <c r="GD8" s="585" t="s">
        <v>723</v>
      </c>
      <c r="GE8" s="585" t="s">
        <v>723</v>
      </c>
      <c r="GF8" s="585" t="s">
        <v>723</v>
      </c>
      <c r="GG8" s="421"/>
      <c r="GH8" s="421"/>
      <c r="GI8" s="421"/>
      <c r="GJ8" s="450" t="s">
        <v>176</v>
      </c>
      <c r="GK8" s="598" t="s">
        <v>697</v>
      </c>
      <c r="GL8" s="421"/>
      <c r="GM8" s="421"/>
      <c r="GN8" s="421"/>
      <c r="GO8" s="421"/>
      <c r="GP8" s="421"/>
      <c r="GQ8" s="421"/>
      <c r="GR8" s="421"/>
      <c r="GS8" s="421"/>
      <c r="GT8" s="421"/>
      <c r="GU8" s="421"/>
      <c r="GV8" s="421"/>
      <c r="GW8" s="421"/>
      <c r="GX8" s="421"/>
      <c r="GY8" s="421"/>
      <c r="GZ8" s="421"/>
      <c r="HA8" s="421"/>
      <c r="HB8" s="421"/>
      <c r="HC8" s="421"/>
      <c r="HD8" s="421"/>
      <c r="HE8" s="598" t="s">
        <v>697</v>
      </c>
      <c r="HF8" s="421"/>
      <c r="HG8" s="631"/>
      <c r="HH8" s="631"/>
      <c r="HI8" s="631"/>
      <c r="HJ8" s="631"/>
      <c r="HK8" s="631"/>
      <c r="HL8" s="631"/>
      <c r="HM8" s="631"/>
      <c r="HN8" s="631"/>
      <c r="HO8" s="631"/>
      <c r="HP8" s="631"/>
      <c r="HQ8" s="631"/>
      <c r="HR8" s="631"/>
      <c r="HS8" s="631"/>
      <c r="HT8" s="631"/>
      <c r="HU8" s="631"/>
      <c r="HV8" s="631"/>
      <c r="HW8" s="631"/>
      <c r="HX8" s="631"/>
      <c r="HY8" s="631"/>
      <c r="HZ8" s="635" t="s">
        <v>697</v>
      </c>
      <c r="IA8" s="631"/>
      <c r="IB8" s="631"/>
      <c r="IC8" s="631"/>
      <c r="ID8" s="667" t="s">
        <v>191</v>
      </c>
      <c r="IE8" s="421"/>
      <c r="IF8" s="668"/>
      <c r="IG8" s="631"/>
      <c r="IH8" s="636"/>
      <c r="II8" s="658"/>
      <c r="IJ8" s="658"/>
      <c r="IK8" s="658"/>
      <c r="IL8" s="704"/>
      <c r="IM8" s="704"/>
      <c r="IN8" s="704"/>
      <c r="IO8" s="704"/>
      <c r="IP8" s="704"/>
      <c r="IQ8" s="704"/>
      <c r="IR8" s="704"/>
      <c r="IS8" s="659"/>
      <c r="IT8" s="659"/>
      <c r="IU8" s="767"/>
      <c r="IV8" s="768"/>
      <c r="IW8" s="768"/>
      <c r="IX8" s="768"/>
      <c r="IY8" s="768"/>
      <c r="IZ8" s="768"/>
      <c r="JA8" s="768"/>
      <c r="JB8" s="768"/>
      <c r="JC8" s="768"/>
      <c r="JD8" s="768"/>
      <c r="JE8" s="768"/>
      <c r="JF8" s="768"/>
      <c r="JG8" s="768"/>
      <c r="JH8" s="768"/>
      <c r="JI8" s="768"/>
      <c r="JJ8" s="768"/>
      <c r="JK8" s="768"/>
      <c r="JL8" s="768"/>
      <c r="JM8" s="768"/>
      <c r="JN8" s="768"/>
      <c r="JO8" s="768"/>
      <c r="JP8" s="768"/>
      <c r="JQ8" s="768"/>
      <c r="JR8" s="768"/>
      <c r="JS8" s="768"/>
      <c r="JT8" s="768"/>
      <c r="JU8" s="768"/>
      <c r="JV8" s="768"/>
      <c r="JW8" s="768"/>
      <c r="JX8" s="768"/>
      <c r="JY8" s="768"/>
      <c r="JZ8" s="768"/>
      <c r="KA8" s="768"/>
      <c r="KB8" s="768"/>
      <c r="KC8" s="768"/>
      <c r="KD8" s="768"/>
      <c r="KE8" s="768"/>
      <c r="KF8" s="768"/>
      <c r="KG8" s="768"/>
      <c r="KH8" s="768"/>
      <c r="KI8" s="768"/>
      <c r="KJ8" s="768"/>
      <c r="KK8" s="768"/>
      <c r="KL8" s="768"/>
      <c r="KM8" s="768"/>
      <c r="KN8" s="769"/>
      <c r="KO8" s="768"/>
      <c r="KP8" s="770"/>
      <c r="KQ8" s="768"/>
      <c r="KR8" s="768"/>
      <c r="KS8" s="768"/>
      <c r="KT8" s="768"/>
      <c r="KU8" s="768"/>
      <c r="KV8" s="768"/>
      <c r="KW8" s="768"/>
      <c r="KX8" s="768"/>
      <c r="KY8" s="768"/>
      <c r="KZ8" s="768"/>
      <c r="LA8" s="768"/>
      <c r="LB8" s="768"/>
      <c r="LC8" s="768"/>
      <c r="LD8" s="771"/>
      <c r="LE8" s="771"/>
      <c r="LF8" s="771"/>
      <c r="LG8" s="771"/>
      <c r="LH8" s="771"/>
      <c r="LI8" s="660" t="s">
        <v>724</v>
      </c>
      <c r="LJ8" s="599"/>
      <c r="LK8" s="458" t="s">
        <v>725</v>
      </c>
      <c r="LL8" s="533" t="s">
        <v>726</v>
      </c>
      <c r="LM8" s="458"/>
      <c r="LN8" s="453"/>
      <c r="LO8" s="453"/>
      <c r="LP8" s="453"/>
      <c r="LQ8" s="453"/>
      <c r="LR8" s="453"/>
    </row>
    <row r="9" spans="1:330" s="453" customFormat="1" ht="143.25" customHeight="1">
      <c r="A9" s="600" t="s">
        <v>8</v>
      </c>
      <c r="B9" s="601" t="s">
        <v>727</v>
      </c>
      <c r="C9" s="601" t="s">
        <v>728</v>
      </c>
      <c r="D9" s="601" t="s">
        <v>729</v>
      </c>
      <c r="E9" s="601" t="s">
        <v>49</v>
      </c>
      <c r="F9" s="601" t="s">
        <v>49</v>
      </c>
      <c r="G9" s="602" t="s">
        <v>730</v>
      </c>
      <c r="H9" s="601" t="s">
        <v>731</v>
      </c>
      <c r="I9" s="602" t="s">
        <v>732</v>
      </c>
      <c r="J9" s="602" t="s">
        <v>732</v>
      </c>
      <c r="K9" s="602" t="s">
        <v>732</v>
      </c>
      <c r="L9" s="603" t="s">
        <v>733</v>
      </c>
      <c r="M9" s="603" t="s">
        <v>733</v>
      </c>
      <c r="N9" s="603" t="s">
        <v>733</v>
      </c>
      <c r="O9" s="602" t="s">
        <v>732</v>
      </c>
      <c r="P9" s="602" t="s">
        <v>732</v>
      </c>
      <c r="Q9" s="604" t="s">
        <v>734</v>
      </c>
      <c r="R9" s="605" t="s">
        <v>735</v>
      </c>
      <c r="S9" s="605" t="s">
        <v>735</v>
      </c>
      <c r="T9" s="605" t="s">
        <v>735</v>
      </c>
      <c r="U9" s="605" t="s">
        <v>735</v>
      </c>
      <c r="V9" s="606" t="s">
        <v>736</v>
      </c>
      <c r="W9" s="607" t="s">
        <v>737</v>
      </c>
      <c r="X9" s="607" t="s">
        <v>738</v>
      </c>
      <c r="Y9" s="608" t="s">
        <v>739</v>
      </c>
      <c r="Z9" s="608" t="s">
        <v>740</v>
      </c>
      <c r="AA9" s="607" t="s">
        <v>738</v>
      </c>
      <c r="AB9" s="607" t="s">
        <v>738</v>
      </c>
      <c r="AC9" s="607" t="s">
        <v>738</v>
      </c>
      <c r="AD9" s="609" t="s">
        <v>741</v>
      </c>
      <c r="AE9" s="609" t="s">
        <v>741</v>
      </c>
      <c r="AF9" s="609" t="s">
        <v>741</v>
      </c>
      <c r="AG9" s="609" t="s">
        <v>741</v>
      </c>
      <c r="AH9" s="609" t="s">
        <v>741</v>
      </c>
      <c r="AI9" s="609" t="s">
        <v>741</v>
      </c>
      <c r="AJ9" s="609" t="s">
        <v>741</v>
      </c>
      <c r="AK9" s="609" t="s">
        <v>741</v>
      </c>
      <c r="AL9" s="609" t="s">
        <v>741</v>
      </c>
      <c r="AM9" s="609" t="s">
        <v>741</v>
      </c>
      <c r="AN9" s="609" t="s">
        <v>742</v>
      </c>
      <c r="AO9" s="610" t="s">
        <v>742</v>
      </c>
      <c r="AP9" s="610" t="s">
        <v>743</v>
      </c>
      <c r="AQ9" s="610" t="s">
        <v>744</v>
      </c>
      <c r="AR9" s="610" t="s">
        <v>744</v>
      </c>
      <c r="AS9" s="610" t="s">
        <v>744</v>
      </c>
      <c r="AT9" s="610" t="s">
        <v>744</v>
      </c>
      <c r="AU9" s="610" t="s">
        <v>744</v>
      </c>
      <c r="AV9" s="607" t="s">
        <v>745</v>
      </c>
      <c r="AW9" s="607" t="s">
        <v>745</v>
      </c>
      <c r="AX9" s="610" t="s">
        <v>746</v>
      </c>
      <c r="AY9" s="607" t="s">
        <v>747</v>
      </c>
      <c r="AZ9" s="607" t="s">
        <v>748</v>
      </c>
      <c r="BA9" s="611" t="s">
        <v>18</v>
      </c>
      <c r="BB9" s="611" t="s">
        <v>18</v>
      </c>
      <c r="BC9" s="611" t="s">
        <v>18</v>
      </c>
      <c r="BD9" s="425" t="s">
        <v>490</v>
      </c>
      <c r="BE9" s="611" t="s">
        <v>18</v>
      </c>
      <c r="BF9" s="611" t="s">
        <v>18</v>
      </c>
      <c r="BG9" s="611" t="s">
        <v>18</v>
      </c>
      <c r="BH9" s="611" t="s">
        <v>18</v>
      </c>
      <c r="BI9" s="425" t="s">
        <v>490</v>
      </c>
      <c r="BJ9" s="611" t="s">
        <v>18</v>
      </c>
      <c r="BK9" s="607" t="s">
        <v>748</v>
      </c>
      <c r="BL9" s="607" t="s">
        <v>748</v>
      </c>
      <c r="BM9" s="422" t="s">
        <v>102</v>
      </c>
      <c r="BN9" s="422" t="s">
        <v>102</v>
      </c>
      <c r="BO9" s="422" t="s">
        <v>102</v>
      </c>
      <c r="BP9" s="422" t="s">
        <v>102</v>
      </c>
      <c r="BQ9" s="421" t="s">
        <v>749</v>
      </c>
      <c r="BR9" s="421" t="s">
        <v>750</v>
      </c>
      <c r="BS9" s="612" t="s">
        <v>751</v>
      </c>
      <c r="BT9" s="422" t="s">
        <v>752</v>
      </c>
      <c r="BU9" s="422" t="s">
        <v>102</v>
      </c>
      <c r="BV9" s="421" t="s">
        <v>250</v>
      </c>
      <c r="BW9" s="422" t="s">
        <v>102</v>
      </c>
      <c r="BX9" s="422" t="s">
        <v>102</v>
      </c>
      <c r="BY9" s="422" t="s">
        <v>102</v>
      </c>
      <c r="BZ9" s="578" t="s">
        <v>753</v>
      </c>
      <c r="CA9" s="578" t="s">
        <v>706</v>
      </c>
      <c r="CB9" s="421" t="s">
        <v>754</v>
      </c>
      <c r="CC9" s="421" t="s">
        <v>755</v>
      </c>
      <c r="CD9" s="421" t="s">
        <v>755</v>
      </c>
      <c r="CE9" s="421" t="s">
        <v>755</v>
      </c>
      <c r="CF9" s="613" t="s">
        <v>756</v>
      </c>
      <c r="CG9" s="613" t="s">
        <v>756</v>
      </c>
      <c r="CH9" s="614" t="s">
        <v>757</v>
      </c>
      <c r="CI9" s="614" t="s">
        <v>757</v>
      </c>
      <c r="CJ9" s="615" t="s">
        <v>758</v>
      </c>
      <c r="CK9" s="609" t="s">
        <v>759</v>
      </c>
      <c r="CL9" s="609" t="s">
        <v>760</v>
      </c>
      <c r="CM9" s="609" t="s">
        <v>760</v>
      </c>
      <c r="CN9" s="616" t="s">
        <v>760</v>
      </c>
      <c r="CO9" s="609" t="s">
        <v>760</v>
      </c>
      <c r="CP9" s="610" t="s">
        <v>761</v>
      </c>
      <c r="CQ9" s="610" t="s">
        <v>762</v>
      </c>
      <c r="CR9" s="610" t="s">
        <v>761</v>
      </c>
      <c r="CS9" s="610" t="s">
        <v>761</v>
      </c>
      <c r="CT9" s="609"/>
      <c r="CU9" s="609" t="s">
        <v>763</v>
      </c>
      <c r="CV9" s="421" t="s">
        <v>764</v>
      </c>
      <c r="CW9" s="421" t="s">
        <v>764</v>
      </c>
      <c r="CX9" s="421" t="s">
        <v>764</v>
      </c>
      <c r="CY9" s="610" t="s">
        <v>765</v>
      </c>
      <c r="CZ9" s="610" t="s">
        <v>766</v>
      </c>
      <c r="DA9" s="610" t="s">
        <v>766</v>
      </c>
      <c r="DB9" s="610" t="s">
        <v>766</v>
      </c>
      <c r="DC9" s="610" t="s">
        <v>766</v>
      </c>
      <c r="DD9" s="578" t="s">
        <v>767</v>
      </c>
      <c r="DE9" s="421" t="s">
        <v>768</v>
      </c>
      <c r="DF9" s="427" t="s">
        <v>769</v>
      </c>
      <c r="DG9" s="427" t="s">
        <v>769</v>
      </c>
      <c r="DH9" s="427" t="s">
        <v>769</v>
      </c>
      <c r="DI9" s="426" t="s">
        <v>133</v>
      </c>
      <c r="DJ9" s="426" t="s">
        <v>133</v>
      </c>
      <c r="DK9" s="427" t="s">
        <v>770</v>
      </c>
      <c r="DL9" s="617" t="s">
        <v>771</v>
      </c>
      <c r="DM9" s="552" t="s">
        <v>772</v>
      </c>
      <c r="DN9" s="618" t="s">
        <v>773</v>
      </c>
      <c r="DO9" s="547" t="s">
        <v>774</v>
      </c>
      <c r="DP9" s="427" t="s">
        <v>775</v>
      </c>
      <c r="DQ9" s="547" t="s">
        <v>776</v>
      </c>
      <c r="DR9" s="527" t="s">
        <v>777</v>
      </c>
      <c r="DS9" s="527" t="s">
        <v>777</v>
      </c>
      <c r="DT9" s="527" t="s">
        <v>778</v>
      </c>
      <c r="DU9" s="527" t="s">
        <v>778</v>
      </c>
      <c r="DV9" s="527" t="s">
        <v>778</v>
      </c>
      <c r="DW9" s="94" t="s">
        <v>779</v>
      </c>
      <c r="DX9" s="452" t="s">
        <v>780</v>
      </c>
      <c r="DY9" s="426" t="s">
        <v>781</v>
      </c>
      <c r="DZ9" s="452" t="s">
        <v>782</v>
      </c>
      <c r="EA9" s="426" t="s">
        <v>144</v>
      </c>
      <c r="EB9" s="426" t="s">
        <v>144</v>
      </c>
      <c r="EC9" s="426" t="s">
        <v>144</v>
      </c>
      <c r="ED9" s="426" t="s">
        <v>144</v>
      </c>
      <c r="EE9" s="426" t="s">
        <v>144</v>
      </c>
      <c r="EF9" s="426" t="s">
        <v>144</v>
      </c>
      <c r="EG9" s="426" t="s">
        <v>144</v>
      </c>
      <c r="EH9" s="426" t="s">
        <v>144</v>
      </c>
      <c r="EI9" s="426" t="s">
        <v>144</v>
      </c>
      <c r="EJ9" s="426" t="s">
        <v>144</v>
      </c>
      <c r="EK9" s="426" t="s">
        <v>144</v>
      </c>
      <c r="EL9" s="426" t="s">
        <v>144</v>
      </c>
      <c r="EM9" s="427" t="s">
        <v>783</v>
      </c>
      <c r="EN9" s="427" t="s">
        <v>784</v>
      </c>
      <c r="EO9" s="427" t="s">
        <v>785</v>
      </c>
      <c r="EP9" s="427" t="s">
        <v>786</v>
      </c>
      <c r="EQ9" s="619" t="s">
        <v>787</v>
      </c>
      <c r="ER9" s="620" t="s">
        <v>141</v>
      </c>
      <c r="ES9" s="620" t="s">
        <v>141</v>
      </c>
      <c r="ET9" s="621" t="s">
        <v>141</v>
      </c>
      <c r="EU9" s="485" t="s">
        <v>788</v>
      </c>
      <c r="EV9" s="622" t="s">
        <v>789</v>
      </c>
      <c r="EW9" s="623" t="s">
        <v>790</v>
      </c>
      <c r="EX9" s="441" t="s">
        <v>300</v>
      </c>
      <c r="EY9" s="623" t="s">
        <v>791</v>
      </c>
      <c r="EZ9" s="453" t="s">
        <v>792</v>
      </c>
      <c r="FA9" s="453" t="s">
        <v>792</v>
      </c>
      <c r="FB9" s="441" t="s">
        <v>300</v>
      </c>
      <c r="FC9" s="441" t="s">
        <v>300</v>
      </c>
      <c r="FD9" s="441" t="s">
        <v>300</v>
      </c>
      <c r="FE9" s="441" t="s">
        <v>300</v>
      </c>
      <c r="FF9" s="441" t="s">
        <v>300</v>
      </c>
      <c r="FG9" s="624" t="s">
        <v>793</v>
      </c>
      <c r="FH9" s="428" t="s">
        <v>794</v>
      </c>
      <c r="FI9" s="625" t="s">
        <v>795</v>
      </c>
      <c r="FJ9" s="626" t="s">
        <v>796</v>
      </c>
      <c r="FK9" s="621" t="s">
        <v>141</v>
      </c>
      <c r="FL9" s="453" t="s">
        <v>792</v>
      </c>
      <c r="FM9" s="453" t="s">
        <v>792</v>
      </c>
      <c r="FN9" s="453" t="s">
        <v>792</v>
      </c>
      <c r="FO9" s="453" t="s">
        <v>792</v>
      </c>
      <c r="FP9" s="625" t="s">
        <v>797</v>
      </c>
      <c r="FQ9" s="627" t="s">
        <v>798</v>
      </c>
      <c r="FR9" s="453" t="s">
        <v>792</v>
      </c>
      <c r="FS9" s="628" t="s">
        <v>799</v>
      </c>
      <c r="FT9" s="628" t="s">
        <v>800</v>
      </c>
      <c r="FU9" s="453" t="s">
        <v>792</v>
      </c>
      <c r="FV9" s="435" t="s">
        <v>167</v>
      </c>
      <c r="FW9" s="435" t="s">
        <v>167</v>
      </c>
      <c r="FX9" s="453" t="s">
        <v>801</v>
      </c>
      <c r="FY9" s="453" t="s">
        <v>801</v>
      </c>
      <c r="GA9" s="453" t="s">
        <v>801</v>
      </c>
      <c r="GB9" s="453" t="s">
        <v>801</v>
      </c>
      <c r="GC9" s="453" t="s">
        <v>801</v>
      </c>
      <c r="GD9" s="453" t="s">
        <v>801</v>
      </c>
      <c r="GE9" s="453" t="s">
        <v>801</v>
      </c>
      <c r="GF9" s="453" t="s">
        <v>801</v>
      </c>
      <c r="GG9" s="453" t="s">
        <v>801</v>
      </c>
      <c r="GH9" s="435" t="s">
        <v>802</v>
      </c>
      <c r="GI9" s="453" t="s">
        <v>801</v>
      </c>
      <c r="GJ9" s="449" t="s">
        <v>803</v>
      </c>
      <c r="GK9" s="395" t="s">
        <v>178</v>
      </c>
      <c r="GL9" s="395" t="s">
        <v>178</v>
      </c>
      <c r="GM9" s="421" t="s">
        <v>804</v>
      </c>
      <c r="GN9" s="421" t="s">
        <v>805</v>
      </c>
      <c r="GO9" s="421" t="s">
        <v>805</v>
      </c>
      <c r="GP9" s="421" t="s">
        <v>805</v>
      </c>
      <c r="GQ9" s="421" t="s">
        <v>805</v>
      </c>
      <c r="GR9" s="421" t="s">
        <v>805</v>
      </c>
      <c r="GS9" s="493" t="s">
        <v>806</v>
      </c>
      <c r="GT9" s="644" t="s">
        <v>807</v>
      </c>
      <c r="GU9" s="644" t="s">
        <v>807</v>
      </c>
      <c r="GV9" s="644" t="s">
        <v>807</v>
      </c>
      <c r="GW9" s="644" t="s">
        <v>807</v>
      </c>
      <c r="GX9" s="656" t="s">
        <v>808</v>
      </c>
      <c r="GY9" s="656" t="s">
        <v>809</v>
      </c>
      <c r="GZ9" s="656" t="s">
        <v>809</v>
      </c>
      <c r="HA9" s="656" t="s">
        <v>810</v>
      </c>
      <c r="HB9" s="421" t="s">
        <v>805</v>
      </c>
      <c r="HC9" s="634" t="s">
        <v>18</v>
      </c>
      <c r="HD9" s="634" t="s">
        <v>18</v>
      </c>
      <c r="HE9" s="421" t="s">
        <v>805</v>
      </c>
      <c r="HF9" s="451" t="s">
        <v>811</v>
      </c>
      <c r="HG9" s="451" t="s">
        <v>811</v>
      </c>
      <c r="HH9" s="494" t="s">
        <v>812</v>
      </c>
      <c r="HI9" s="494" t="s">
        <v>812</v>
      </c>
      <c r="HJ9" s="677" t="s">
        <v>813</v>
      </c>
      <c r="HK9" s="677" t="s">
        <v>813</v>
      </c>
      <c r="HL9" s="677" t="s">
        <v>813</v>
      </c>
      <c r="HM9" s="677" t="s">
        <v>813</v>
      </c>
      <c r="HN9" s="677" t="s">
        <v>814</v>
      </c>
      <c r="HO9" s="435" t="s">
        <v>815</v>
      </c>
      <c r="HP9" s="435" t="s">
        <v>815</v>
      </c>
      <c r="HQ9" s="435" t="s">
        <v>816</v>
      </c>
      <c r="HR9" s="651" t="s">
        <v>817</v>
      </c>
      <c r="HS9" s="651" t="s">
        <v>817</v>
      </c>
      <c r="HT9" s="677" t="s">
        <v>814</v>
      </c>
      <c r="HU9" s="677" t="s">
        <v>814</v>
      </c>
      <c r="HV9" s="677" t="s">
        <v>814</v>
      </c>
      <c r="HW9" s="677" t="s">
        <v>814</v>
      </c>
      <c r="HX9" s="677" t="s">
        <v>814</v>
      </c>
      <c r="HY9" s="696" t="s">
        <v>818</v>
      </c>
      <c r="HZ9" s="696" t="s">
        <v>818</v>
      </c>
      <c r="IA9" s="696" t="s">
        <v>818</v>
      </c>
      <c r="IB9" s="696" t="s">
        <v>818</v>
      </c>
      <c r="IC9" s="696" t="s">
        <v>818</v>
      </c>
      <c r="ID9" s="696" t="s">
        <v>818</v>
      </c>
      <c r="IE9" s="696" t="s">
        <v>818</v>
      </c>
      <c r="IF9" s="696" t="s">
        <v>818</v>
      </c>
      <c r="IG9" s="696" t="s">
        <v>818</v>
      </c>
      <c r="IH9" s="696" t="s">
        <v>818</v>
      </c>
      <c r="II9" s="669" t="s">
        <v>819</v>
      </c>
      <c r="IJ9" s="696" t="s">
        <v>818</v>
      </c>
      <c r="IK9" s="696" t="s">
        <v>818</v>
      </c>
      <c r="IL9" s="716" t="s">
        <v>820</v>
      </c>
      <c r="IM9" s="716" t="s">
        <v>821</v>
      </c>
      <c r="IN9" s="716" t="s">
        <v>821</v>
      </c>
      <c r="IO9" s="716" t="s">
        <v>822</v>
      </c>
      <c r="IP9" s="716" t="s">
        <v>823</v>
      </c>
      <c r="IQ9" s="716" t="s">
        <v>824</v>
      </c>
      <c r="IR9" s="716" t="s">
        <v>825</v>
      </c>
      <c r="IS9" s="697" t="s">
        <v>826</v>
      </c>
      <c r="IT9" s="697" t="s">
        <v>827</v>
      </c>
      <c r="IU9" s="657" t="s">
        <v>828</v>
      </c>
      <c r="IV9" s="657" t="s">
        <v>828</v>
      </c>
      <c r="IW9" s="671" t="s">
        <v>829</v>
      </c>
      <c r="IX9" s="670" t="s">
        <v>196</v>
      </c>
      <c r="IY9" s="670" t="s">
        <v>196</v>
      </c>
      <c r="IZ9" s="670" t="s">
        <v>195</v>
      </c>
      <c r="JA9" s="670" t="s">
        <v>195</v>
      </c>
      <c r="JB9" s="670" t="s">
        <v>195</v>
      </c>
      <c r="JC9" s="670" t="s">
        <v>195</v>
      </c>
      <c r="JD9" s="670" t="s">
        <v>195</v>
      </c>
      <c r="JE9" s="670" t="s">
        <v>195</v>
      </c>
      <c r="JF9" s="670" t="s">
        <v>195</v>
      </c>
      <c r="JG9" s="717" t="s">
        <v>18</v>
      </c>
      <c r="JH9" s="670" t="s">
        <v>195</v>
      </c>
      <c r="JI9" s="670" t="s">
        <v>195</v>
      </c>
      <c r="JJ9" s="671" t="s">
        <v>830</v>
      </c>
      <c r="JK9" s="670" t="s">
        <v>195</v>
      </c>
      <c r="JL9" s="670" t="s">
        <v>195</v>
      </c>
      <c r="JM9" s="670" t="s">
        <v>195</v>
      </c>
      <c r="JN9" s="670" t="s">
        <v>195</v>
      </c>
      <c r="JO9" s="698" t="s">
        <v>831</v>
      </c>
      <c r="JP9" s="698" t="s">
        <v>831</v>
      </c>
      <c r="JQ9" s="782" t="s">
        <v>18</v>
      </c>
      <c r="JR9" s="782" t="s">
        <v>18</v>
      </c>
      <c r="JS9" s="698" t="s">
        <v>832</v>
      </c>
      <c r="JT9" s="698" t="s">
        <v>832</v>
      </c>
      <c r="JU9" s="698" t="s">
        <v>832</v>
      </c>
      <c r="JV9" s="698" t="s">
        <v>832</v>
      </c>
      <c r="JW9" s="671" t="s">
        <v>833</v>
      </c>
      <c r="JX9" s="699" t="s">
        <v>18</v>
      </c>
      <c r="JY9" s="699" t="s">
        <v>18</v>
      </c>
      <c r="JZ9" s="698" t="s">
        <v>834</v>
      </c>
      <c r="KA9" s="698" t="s">
        <v>834</v>
      </c>
      <c r="KB9" s="698" t="s">
        <v>834</v>
      </c>
      <c r="KC9" s="698" t="s">
        <v>834</v>
      </c>
      <c r="KD9" s="678"/>
      <c r="KE9" s="678"/>
      <c r="KF9" s="678"/>
      <c r="KG9" s="678"/>
      <c r="KH9" s="678"/>
      <c r="KI9" s="392" t="s">
        <v>835</v>
      </c>
      <c r="KJ9" s="678"/>
      <c r="KK9" s="678"/>
      <c r="KN9" s="454"/>
      <c r="KP9" s="455"/>
      <c r="LK9" s="455"/>
    </row>
    <row r="10" spans="1:330" ht="129" customHeight="1">
      <c r="B10" s="629"/>
      <c r="C10" s="629"/>
      <c r="GX10" s="449"/>
      <c r="HW10" s="685"/>
      <c r="IB10" s="148"/>
      <c r="IL10" s="376"/>
    </row>
    <row r="11" spans="1:330" ht="13.5" customHeight="1">
      <c r="JQ11" s="746"/>
      <c r="JR11" s="746"/>
      <c r="JS11" s="746"/>
      <c r="JT11" s="746"/>
      <c r="JU11" s="747"/>
      <c r="JV11" s="747"/>
      <c r="JW11" s="747"/>
    </row>
    <row r="12" spans="1:330" ht="13.5" customHeight="1">
      <c r="IN12" s="745"/>
      <c r="IO12" s="745"/>
      <c r="IP12" s="745"/>
      <c r="IQ12" s="745"/>
      <c r="IR12" s="745"/>
      <c r="IS12" s="739"/>
    </row>
    <row r="22" spans="249:249" ht="13.5" customHeight="1">
      <c r="IO22" s="449"/>
    </row>
  </sheetData>
  <autoFilter ref="A1:LR10" xr:uid="{DFEFE6B1-01DD-0440-B48B-A3E3C486527B}"/>
  <conditionalFormatting sqref="CO1 CT1:DM1">
    <cfRule type="containsText" dxfId="38" priority="5" operator="containsText" text="Jess">
      <formula>NOT(ISERROR(SEARCH("Jess",CO1)))</formula>
    </cfRule>
  </conditionalFormatting>
  <conditionalFormatting sqref="DN1:DR1">
    <cfRule type="containsText" dxfId="37" priority="4" operator="containsText" text="Jess">
      <formula>NOT(ISERROR(SEARCH("Jess",DN1)))</formula>
    </cfRule>
  </conditionalFormatting>
  <conditionalFormatting sqref="DS1:IH1">
    <cfRule type="containsText" dxfId="36" priority="3" operator="containsText" text="Jess">
      <formula>NOT(ISERROR(SEARCH("Jess",DS1)))</formula>
    </cfRule>
  </conditionalFormatting>
  <conditionalFormatting sqref="II1:LJ1">
    <cfRule type="containsText" dxfId="35" priority="2" operator="containsText" text="Jess">
      <formula>NOT(ISERROR(SEARCH("Jess",II1)))</formula>
    </cfRule>
  </conditionalFormatting>
  <conditionalFormatting sqref="II2:LJ2">
    <cfRule type="containsText" dxfId="34" priority="1" operator="containsText" text="Jess">
      <formula>NOT(ISERROR(SEARCH("Jess",II2)))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003C-4BF2-4E23-86CE-BE3BC7D8002A}">
  <dimension ref="A1:MZ14"/>
  <sheetViews>
    <sheetView zoomScale="130" zoomScaleNormal="130" workbookViewId="0">
      <pane xSplit="1" ySplit="2" topLeftCell="JL3" activePane="bottomRight" state="frozen"/>
      <selection pane="bottomRight" activeCell="JO5" sqref="JO5"/>
      <selection pane="bottomLeft" activeCell="L4" sqref="L4"/>
      <selection pane="topRight" activeCell="L4" sqref="L4"/>
    </sheetView>
  </sheetViews>
  <sheetFormatPr defaultColWidth="9" defaultRowHeight="13.5" customHeight="1"/>
  <cols>
    <col min="1" max="1" width="9.875" style="17" customWidth="1"/>
    <col min="2" max="53" width="12.875" style="17" hidden="1" customWidth="1"/>
    <col min="54" max="54" width="14.125" style="17" hidden="1" customWidth="1"/>
    <col min="55" max="89" width="12.875" style="17" hidden="1" customWidth="1"/>
    <col min="90" max="94" width="13.875" style="17" hidden="1" customWidth="1"/>
    <col min="95" max="95" width="13.5" style="17" hidden="1" customWidth="1"/>
    <col min="96" max="99" width="12.625" style="17" hidden="1" customWidth="1"/>
    <col min="100" max="100" width="14.125" style="17" hidden="1" customWidth="1"/>
    <col min="101" max="132" width="12.625" style="17" hidden="1" customWidth="1"/>
    <col min="133" max="133" width="12.625" style="95" hidden="1" customWidth="1"/>
    <col min="134" max="134" width="9" style="255" hidden="1" customWidth="1"/>
    <col min="135" max="171" width="12.625" style="95" hidden="1" customWidth="1"/>
    <col min="172" max="172" width="12.625" style="255" hidden="1" customWidth="1"/>
    <col min="173" max="185" width="12.625" style="95" hidden="1" customWidth="1"/>
    <col min="186" max="186" width="12.625" style="255" hidden="1" customWidth="1"/>
    <col min="187" max="191" width="12.625" style="95" hidden="1" customWidth="1"/>
    <col min="192" max="192" width="12.625" style="255" hidden="1" customWidth="1"/>
    <col min="193" max="195" width="12.625" style="95" hidden="1" customWidth="1"/>
    <col min="196" max="196" width="17.75" style="95" hidden="1" customWidth="1"/>
    <col min="197" max="197" width="14.375" style="95" hidden="1" customWidth="1"/>
    <col min="198" max="198" width="9.625" style="95" hidden="1" customWidth="1"/>
    <col min="199" max="219" width="12.625" style="95" customWidth="1"/>
    <col min="220" max="220" width="12.625" style="255" customWidth="1"/>
    <col min="221" max="221" width="12.625" style="95" customWidth="1"/>
    <col min="222" max="225" width="14.625" style="95" customWidth="1"/>
    <col min="226" max="226" width="16" style="95" customWidth="1"/>
    <col min="227" max="230" width="14.625" style="95" customWidth="1"/>
    <col min="231" max="231" width="16.875" style="95" customWidth="1"/>
    <col min="232" max="247" width="14.625" style="95" customWidth="1"/>
    <col min="248" max="248" width="16.625" style="95" customWidth="1"/>
    <col min="249" max="253" width="14.625" style="95" customWidth="1"/>
    <col min="254" max="254" width="15.5" style="95" customWidth="1"/>
    <col min="255" max="333" width="14.625" style="95" customWidth="1"/>
    <col min="334" max="334" width="14.625" style="255" customWidth="1"/>
    <col min="335" max="363" width="14.625" style="95" customWidth="1"/>
    <col min="364" max="378" width="14.625" style="17" customWidth="1"/>
    <col min="379" max="16384" width="9" style="17"/>
  </cols>
  <sheetData>
    <row r="1" spans="1:364" s="304" customFormat="1">
      <c r="A1" s="300"/>
      <c r="B1" s="301">
        <v>45929</v>
      </c>
      <c r="C1" s="301">
        <f>WORKDAY(B1,1)</f>
        <v>45930</v>
      </c>
      <c r="D1" s="301">
        <f t="shared" ref="D1:E1" si="0">WORKDAY(C1,1)</f>
        <v>45931</v>
      </c>
      <c r="E1" s="301">
        <f t="shared" si="0"/>
        <v>45932</v>
      </c>
      <c r="F1" s="301">
        <f>WORKDAY(E1,1)</f>
        <v>45933</v>
      </c>
      <c r="G1" s="301">
        <f>WORKDAY(F1,1)</f>
        <v>45936</v>
      </c>
      <c r="H1" s="301">
        <f t="shared" ref="H1:Z1" si="1">WORKDAY(G1,1)</f>
        <v>45937</v>
      </c>
      <c r="I1" s="301">
        <f t="shared" si="1"/>
        <v>45938</v>
      </c>
      <c r="J1" s="301">
        <f t="shared" si="1"/>
        <v>45939</v>
      </c>
      <c r="K1" s="301">
        <f t="shared" si="1"/>
        <v>45940</v>
      </c>
      <c r="L1" s="301">
        <f t="shared" si="1"/>
        <v>45943</v>
      </c>
      <c r="M1" s="301">
        <f t="shared" si="1"/>
        <v>45944</v>
      </c>
      <c r="N1" s="301">
        <f t="shared" si="1"/>
        <v>45945</v>
      </c>
      <c r="O1" s="302">
        <f t="shared" si="1"/>
        <v>45946</v>
      </c>
      <c r="P1" s="301">
        <f t="shared" si="1"/>
        <v>45947</v>
      </c>
      <c r="Q1" s="301">
        <f t="shared" si="1"/>
        <v>45950</v>
      </c>
      <c r="R1" s="301">
        <f t="shared" si="1"/>
        <v>45951</v>
      </c>
      <c r="S1" s="301">
        <f t="shared" si="1"/>
        <v>45952</v>
      </c>
      <c r="T1" s="301">
        <f t="shared" si="1"/>
        <v>45953</v>
      </c>
      <c r="U1" s="301">
        <f t="shared" si="1"/>
        <v>45954</v>
      </c>
      <c r="V1" s="301">
        <f t="shared" si="1"/>
        <v>45957</v>
      </c>
      <c r="W1" s="301">
        <f t="shared" si="1"/>
        <v>45958</v>
      </c>
      <c r="X1" s="301">
        <f t="shared" si="1"/>
        <v>45959</v>
      </c>
      <c r="Y1" s="301">
        <f t="shared" si="1"/>
        <v>45960</v>
      </c>
      <c r="Z1" s="301">
        <f t="shared" si="1"/>
        <v>45961</v>
      </c>
      <c r="AA1" s="301">
        <f t="shared" ref="AA1:AT1" si="2">WORKDAY(Z1,1)</f>
        <v>45964</v>
      </c>
      <c r="AB1" s="301">
        <f t="shared" si="2"/>
        <v>45965</v>
      </c>
      <c r="AC1" s="301">
        <f t="shared" si="2"/>
        <v>45966</v>
      </c>
      <c r="AD1" s="301">
        <f t="shared" si="2"/>
        <v>45967</v>
      </c>
      <c r="AE1" s="301">
        <f t="shared" si="2"/>
        <v>45968</v>
      </c>
      <c r="AF1" s="301">
        <f t="shared" si="2"/>
        <v>45971</v>
      </c>
      <c r="AG1" s="301">
        <f t="shared" si="2"/>
        <v>45972</v>
      </c>
      <c r="AH1" s="301">
        <f t="shared" si="2"/>
        <v>45973</v>
      </c>
      <c r="AI1" s="301">
        <f t="shared" si="2"/>
        <v>45974</v>
      </c>
      <c r="AJ1" s="301">
        <f t="shared" si="2"/>
        <v>45975</v>
      </c>
      <c r="AK1" s="301">
        <f t="shared" si="2"/>
        <v>45978</v>
      </c>
      <c r="AL1" s="301">
        <f t="shared" si="2"/>
        <v>45979</v>
      </c>
      <c r="AM1" s="301">
        <f t="shared" si="2"/>
        <v>45980</v>
      </c>
      <c r="AN1" s="301">
        <f t="shared" si="2"/>
        <v>45981</v>
      </c>
      <c r="AO1" s="301">
        <f t="shared" si="2"/>
        <v>45982</v>
      </c>
      <c r="AP1" s="301">
        <f t="shared" si="2"/>
        <v>45985</v>
      </c>
      <c r="AQ1" s="301">
        <f t="shared" si="2"/>
        <v>45986</v>
      </c>
      <c r="AR1" s="301">
        <f t="shared" si="2"/>
        <v>45987</v>
      </c>
      <c r="AS1" s="301">
        <f t="shared" si="2"/>
        <v>45988</v>
      </c>
      <c r="AT1" s="301">
        <f t="shared" si="2"/>
        <v>45989</v>
      </c>
      <c r="AU1" s="301">
        <f t="shared" ref="AU1:CM1" si="3">WORKDAY(AT1,1)</f>
        <v>45992</v>
      </c>
      <c r="AV1" s="301">
        <f t="shared" si="3"/>
        <v>45993</v>
      </c>
      <c r="AW1" s="301">
        <f t="shared" si="3"/>
        <v>45994</v>
      </c>
      <c r="AX1" s="301">
        <f t="shared" si="3"/>
        <v>45995</v>
      </c>
      <c r="AY1" s="301">
        <f t="shared" si="3"/>
        <v>45996</v>
      </c>
      <c r="AZ1" s="301">
        <f t="shared" si="3"/>
        <v>45999</v>
      </c>
      <c r="BA1" s="301">
        <f t="shared" si="3"/>
        <v>46000</v>
      </c>
      <c r="BB1" s="301">
        <f t="shared" si="3"/>
        <v>46001</v>
      </c>
      <c r="BC1" s="301">
        <f t="shared" si="3"/>
        <v>46002</v>
      </c>
      <c r="BD1" s="301">
        <f t="shared" si="3"/>
        <v>46003</v>
      </c>
      <c r="BE1" s="301">
        <f t="shared" si="3"/>
        <v>46006</v>
      </c>
      <c r="BF1" s="301">
        <f t="shared" si="3"/>
        <v>46007</v>
      </c>
      <c r="BG1" s="301">
        <f t="shared" si="3"/>
        <v>46008</v>
      </c>
      <c r="BH1" s="301">
        <f t="shared" si="3"/>
        <v>46009</v>
      </c>
      <c r="BI1" s="301">
        <f t="shared" si="3"/>
        <v>46010</v>
      </c>
      <c r="BJ1" s="301">
        <f t="shared" si="3"/>
        <v>46013</v>
      </c>
      <c r="BK1" s="301">
        <f t="shared" si="3"/>
        <v>46014</v>
      </c>
      <c r="BL1" s="301">
        <f t="shared" si="3"/>
        <v>46015</v>
      </c>
      <c r="BM1" s="301">
        <f t="shared" si="3"/>
        <v>46016</v>
      </c>
      <c r="BN1" s="301">
        <f t="shared" si="3"/>
        <v>46017</v>
      </c>
      <c r="BO1" s="301">
        <f t="shared" si="3"/>
        <v>46020</v>
      </c>
      <c r="BP1" s="301">
        <f t="shared" si="3"/>
        <v>46021</v>
      </c>
      <c r="BQ1" s="301">
        <f t="shared" si="3"/>
        <v>46022</v>
      </c>
      <c r="BR1" s="301">
        <f t="shared" si="3"/>
        <v>46023</v>
      </c>
      <c r="BS1" s="301">
        <f t="shared" si="3"/>
        <v>46024</v>
      </c>
      <c r="BT1" s="301">
        <f t="shared" si="3"/>
        <v>46027</v>
      </c>
      <c r="BU1" s="301">
        <f t="shared" si="3"/>
        <v>46028</v>
      </c>
      <c r="BV1" s="301">
        <f t="shared" si="3"/>
        <v>46029</v>
      </c>
      <c r="BW1" s="301">
        <f t="shared" si="3"/>
        <v>46030</v>
      </c>
      <c r="BX1" s="301">
        <f t="shared" si="3"/>
        <v>46031</v>
      </c>
      <c r="BY1" s="301">
        <f t="shared" si="3"/>
        <v>46034</v>
      </c>
      <c r="BZ1" s="301">
        <f t="shared" si="3"/>
        <v>46035</v>
      </c>
      <c r="CA1" s="301">
        <f t="shared" si="3"/>
        <v>46036</v>
      </c>
      <c r="CB1" s="301">
        <f t="shared" si="3"/>
        <v>46037</v>
      </c>
      <c r="CC1" s="301">
        <f t="shared" si="3"/>
        <v>46038</v>
      </c>
      <c r="CD1" s="301">
        <f t="shared" si="3"/>
        <v>46041</v>
      </c>
      <c r="CE1" s="301">
        <f t="shared" si="3"/>
        <v>46042</v>
      </c>
      <c r="CF1" s="301">
        <f t="shared" si="3"/>
        <v>46043</v>
      </c>
      <c r="CG1" s="301">
        <f t="shared" si="3"/>
        <v>46044</v>
      </c>
      <c r="CH1" s="301">
        <f t="shared" si="3"/>
        <v>46045</v>
      </c>
      <c r="CI1" s="301">
        <f t="shared" si="3"/>
        <v>46048</v>
      </c>
      <c r="CJ1" s="301">
        <f t="shared" si="3"/>
        <v>46049</v>
      </c>
      <c r="CK1" s="301">
        <f t="shared" si="3"/>
        <v>46050</v>
      </c>
      <c r="CL1" s="301">
        <f t="shared" si="3"/>
        <v>46051</v>
      </c>
      <c r="CM1" s="301">
        <f t="shared" si="3"/>
        <v>46052</v>
      </c>
      <c r="CN1" s="301">
        <f t="shared" ref="CN1" si="4">WORKDAY(CM1,1)</f>
        <v>46055</v>
      </c>
      <c r="CO1" s="301">
        <f t="shared" ref="CO1" si="5">WORKDAY(CN1,1)</f>
        <v>46056</v>
      </c>
      <c r="CP1" s="301">
        <f>WORKDAY(CO1,1)</f>
        <v>46057</v>
      </c>
      <c r="CQ1" s="301">
        <f t="shared" ref="CQ1" si="6">WORKDAY(CP1,1)</f>
        <v>46058</v>
      </c>
      <c r="CR1" s="301">
        <f t="shared" ref="CR1:CS1" si="7">WORKDAY(CQ1,1)</f>
        <v>46059</v>
      </c>
      <c r="CS1" s="301">
        <f t="shared" si="7"/>
        <v>46062</v>
      </c>
      <c r="CT1" s="301">
        <f t="shared" ref="CT1" si="8">WORKDAY(CS1,1)</f>
        <v>46063</v>
      </c>
      <c r="CU1" s="301">
        <f t="shared" ref="CU1" si="9">WORKDAY(CT1,1)</f>
        <v>46064</v>
      </c>
      <c r="CV1" s="301">
        <f t="shared" ref="CV1" si="10">WORKDAY(CU1,1)</f>
        <v>46065</v>
      </c>
      <c r="CW1" s="301">
        <f t="shared" ref="CW1:CX1" si="11">WORKDAY(CV1,1)</f>
        <v>46066</v>
      </c>
      <c r="CX1" s="301">
        <f t="shared" si="11"/>
        <v>46069</v>
      </c>
      <c r="CY1" s="301">
        <f t="shared" ref="CY1" si="12">WORKDAY(CX1,1)</f>
        <v>46070</v>
      </c>
      <c r="CZ1" s="301">
        <f t="shared" ref="CZ1" si="13">WORKDAY(CY1,1)</f>
        <v>46071</v>
      </c>
      <c r="DA1" s="301">
        <f t="shared" ref="DA1" si="14">WORKDAY(CZ1,1)</f>
        <v>46072</v>
      </c>
      <c r="DB1" s="301">
        <f t="shared" ref="DB1:DC1" si="15">WORKDAY(DA1,1)</f>
        <v>46073</v>
      </c>
      <c r="DC1" s="301">
        <f t="shared" si="15"/>
        <v>46076</v>
      </c>
      <c r="DD1" s="301">
        <f t="shared" ref="DD1" si="16">WORKDAY(DC1,1)</f>
        <v>46077</v>
      </c>
      <c r="DE1" s="301">
        <f t="shared" ref="DE1" si="17">WORKDAY(DD1,1)</f>
        <v>46078</v>
      </c>
      <c r="DF1" s="301">
        <f t="shared" ref="DF1" si="18">WORKDAY(DE1,1)</f>
        <v>46079</v>
      </c>
      <c r="DG1" s="301">
        <f t="shared" ref="DG1" si="19">WORKDAY(DF1,1)</f>
        <v>46080</v>
      </c>
      <c r="DH1" s="301">
        <f t="shared" ref="DH1" si="20">WORKDAY(DG1,1)</f>
        <v>46083</v>
      </c>
      <c r="DI1" s="301">
        <f t="shared" ref="DI1" si="21">WORKDAY(DH1,1)</f>
        <v>46084</v>
      </c>
      <c r="DJ1" s="301">
        <f t="shared" ref="DJ1" si="22">WORKDAY(DI1,1)</f>
        <v>46085</v>
      </c>
      <c r="DK1" s="301">
        <f t="shared" ref="DK1" si="23">WORKDAY(DJ1,1)</f>
        <v>46086</v>
      </c>
      <c r="DL1" s="301">
        <f t="shared" ref="DL1" si="24">WORKDAY(DK1,1)</f>
        <v>46087</v>
      </c>
      <c r="DM1" s="301">
        <f>WORKDAY(DL1,1)</f>
        <v>46090</v>
      </c>
      <c r="DN1" s="301">
        <f>WORKDAY(DM1,1)</f>
        <v>46091</v>
      </c>
      <c r="DO1" s="301">
        <f>WORKDAY(DN1,1)</f>
        <v>46092</v>
      </c>
      <c r="DP1" s="301">
        <f>WORKDAY(DO1,1)</f>
        <v>46093</v>
      </c>
      <c r="DQ1" s="301">
        <f>WORKDAY(DP1,1)</f>
        <v>46094</v>
      </c>
      <c r="DR1" s="301">
        <f>WORKDAY(DQ1,1)</f>
        <v>46097</v>
      </c>
      <c r="DS1" s="301">
        <f>WORKDAY(DR1,1)</f>
        <v>46098</v>
      </c>
      <c r="DT1" s="301">
        <f>WORKDAY(DS1,1)</f>
        <v>46099</v>
      </c>
      <c r="DU1" s="301">
        <f>WORKDAY(DT1,1)</f>
        <v>46100</v>
      </c>
      <c r="DV1" s="301">
        <f>WORKDAY(DU1,1)</f>
        <v>46101</v>
      </c>
      <c r="DW1" s="301">
        <f>WORKDAY(DV1,1)</f>
        <v>46104</v>
      </c>
      <c r="DX1" s="301">
        <f>WORKDAY(DW1,1)</f>
        <v>46105</v>
      </c>
      <c r="DY1" s="301">
        <f>WORKDAY(DX1,1)</f>
        <v>46106</v>
      </c>
      <c r="DZ1" s="301">
        <f>WORKDAY(DY1,1)</f>
        <v>46107</v>
      </c>
      <c r="EA1" s="301">
        <f>WORKDAY(DZ1,1)</f>
        <v>46108</v>
      </c>
      <c r="EB1" s="302">
        <f>WORKDAY(EA1,1)</f>
        <v>46111</v>
      </c>
      <c r="EC1" s="254">
        <f>WORKDAY(EB1,1)</f>
        <v>46112</v>
      </c>
      <c r="ED1" s="303">
        <f>WORKDAY(EC1,1)</f>
        <v>46113</v>
      </c>
      <c r="EE1" s="254">
        <f>WORKDAY(ED1,1)</f>
        <v>46114</v>
      </c>
      <c r="EF1" s="254">
        <f>WORKDAY(EE1,1)</f>
        <v>46115</v>
      </c>
      <c r="EG1" s="254">
        <f t="shared" ref="EG1:EP1" si="25">WORKDAY(EF1,1)</f>
        <v>46118</v>
      </c>
      <c r="EH1" s="254">
        <f t="shared" si="25"/>
        <v>46119</v>
      </c>
      <c r="EI1" s="254">
        <f t="shared" si="25"/>
        <v>46120</v>
      </c>
      <c r="EJ1" s="254">
        <f t="shared" si="25"/>
        <v>46121</v>
      </c>
      <c r="EK1" s="254">
        <f t="shared" si="25"/>
        <v>46122</v>
      </c>
      <c r="EL1" s="254">
        <f t="shared" si="25"/>
        <v>46125</v>
      </c>
      <c r="EM1" s="254">
        <f t="shared" si="25"/>
        <v>46126</v>
      </c>
      <c r="EN1" s="254">
        <f t="shared" si="25"/>
        <v>46127</v>
      </c>
      <c r="EO1" s="254">
        <f t="shared" si="25"/>
        <v>46128</v>
      </c>
      <c r="EP1" s="254">
        <f>WORKDAY(EO1,1)</f>
        <v>46129</v>
      </c>
      <c r="EQ1" s="254">
        <f>WORKDAY(EP1,1)</f>
        <v>46132</v>
      </c>
      <c r="ER1" s="254">
        <f>WORKDAY(EQ1,1)</f>
        <v>46133</v>
      </c>
      <c r="ES1" s="254">
        <f>WORKDAY(ER1,1)</f>
        <v>46134</v>
      </c>
      <c r="ET1" s="254">
        <f>WORKDAY(ES1,1)</f>
        <v>46135</v>
      </c>
      <c r="EU1" s="254">
        <f>WORKDAY(ET1,1)</f>
        <v>46136</v>
      </c>
      <c r="EV1" s="254">
        <f>WORKDAY(EU1,1)</f>
        <v>46139</v>
      </c>
      <c r="EW1" s="254">
        <f>WORKDAY(EV1,1)</f>
        <v>46140</v>
      </c>
      <c r="EX1" s="254">
        <f>WORKDAY(EW1,1)</f>
        <v>46141</v>
      </c>
      <c r="EY1" s="254">
        <f>WORKDAY(EX1,1)</f>
        <v>46142</v>
      </c>
      <c r="EZ1" s="254">
        <f>WORKDAY(EY1,1)</f>
        <v>46143</v>
      </c>
      <c r="FA1" s="254">
        <f>WORKDAY(EZ1,1)</f>
        <v>46146</v>
      </c>
      <c r="FB1" s="254">
        <f>WORKDAY(FA1,1)</f>
        <v>46147</v>
      </c>
      <c r="FC1" s="254">
        <f>WORKDAY(FB1,1)</f>
        <v>46148</v>
      </c>
      <c r="FD1" s="254">
        <f>WORKDAY(FC1,1)</f>
        <v>46149</v>
      </c>
      <c r="FE1" s="254">
        <f>WORKDAY(FD1,1)</f>
        <v>46150</v>
      </c>
      <c r="FF1" s="254">
        <f>WORKDAY(FE1,1)</f>
        <v>46153</v>
      </c>
      <c r="FG1" s="254">
        <f>WORKDAY(FF1,1)</f>
        <v>46154</v>
      </c>
      <c r="FH1" s="254">
        <f>WORKDAY(FG1,1)</f>
        <v>46155</v>
      </c>
      <c r="FI1" s="254">
        <f>WORKDAY(FH1,1)</f>
        <v>46156</v>
      </c>
      <c r="FJ1" s="254">
        <f>WORKDAY(FI1,1)</f>
        <v>46157</v>
      </c>
      <c r="FK1" s="254">
        <f>WORKDAY(FJ1,1)</f>
        <v>46160</v>
      </c>
      <c r="FL1" s="254">
        <f>WORKDAY(FK1,1)</f>
        <v>46161</v>
      </c>
      <c r="FM1" s="254">
        <f>WORKDAY(FL1,1)</f>
        <v>46162</v>
      </c>
      <c r="FN1" s="254">
        <f>WORKDAY(FM1,1)</f>
        <v>46163</v>
      </c>
      <c r="FO1" s="254">
        <f>WORKDAY(FN1,1)</f>
        <v>46164</v>
      </c>
      <c r="FP1" s="303">
        <f>WORKDAY(FO1,1)</f>
        <v>46167</v>
      </c>
      <c r="FQ1" s="254">
        <f>WORKDAY(FP1,1)</f>
        <v>46168</v>
      </c>
      <c r="FR1" s="254">
        <f>WORKDAY(FQ1,1)</f>
        <v>46169</v>
      </c>
      <c r="FS1" s="254">
        <f>WORKDAY(FR1,1)</f>
        <v>46170</v>
      </c>
      <c r="FT1" s="254">
        <f>WORKDAY(FS1,1)</f>
        <v>46171</v>
      </c>
      <c r="FU1" s="254">
        <f t="shared" ref="FU1:GD1" si="26">WORKDAY(FT1,1)</f>
        <v>46174</v>
      </c>
      <c r="FV1" s="254">
        <f t="shared" si="26"/>
        <v>46175</v>
      </c>
      <c r="FW1" s="254">
        <f t="shared" si="26"/>
        <v>46176</v>
      </c>
      <c r="FX1" s="254">
        <f t="shared" si="26"/>
        <v>46177</v>
      </c>
      <c r="FY1" s="254">
        <f t="shared" si="26"/>
        <v>46178</v>
      </c>
      <c r="FZ1" s="254">
        <f t="shared" si="26"/>
        <v>46181</v>
      </c>
      <c r="GA1" s="254">
        <f t="shared" si="26"/>
        <v>46182</v>
      </c>
      <c r="GB1" s="254">
        <f t="shared" si="26"/>
        <v>46183</v>
      </c>
      <c r="GC1" s="254">
        <f t="shared" si="26"/>
        <v>46184</v>
      </c>
      <c r="GD1" s="303">
        <f t="shared" si="26"/>
        <v>46185</v>
      </c>
      <c r="GE1" s="254">
        <f>WORKDAY(GD1,1)</f>
        <v>46188</v>
      </c>
      <c r="GF1" s="254">
        <f>WORKDAY(GE1,1)</f>
        <v>46189</v>
      </c>
      <c r="GG1" s="254">
        <f>WORKDAY(GF1,1)</f>
        <v>46190</v>
      </c>
      <c r="GH1" s="254">
        <f>WORKDAY(GG1,1)</f>
        <v>46191</v>
      </c>
      <c r="GI1" s="254">
        <f>WORKDAY(GH1,1)</f>
        <v>46192</v>
      </c>
      <c r="GJ1" s="303">
        <f>WORKDAY(GI1,1)</f>
        <v>46195</v>
      </c>
      <c r="GK1" s="254">
        <f>WORKDAY(GJ1,1)</f>
        <v>46196</v>
      </c>
      <c r="GL1" s="254">
        <f>WORKDAY(GK1,1)</f>
        <v>46197</v>
      </c>
      <c r="GM1" s="254">
        <f>WORKDAY(GL1,1)</f>
        <v>46198</v>
      </c>
      <c r="GN1" s="254">
        <f>WORKDAY(GM1,1)</f>
        <v>46199</v>
      </c>
      <c r="GO1" s="254">
        <f>WORKDAY(GN1,1)</f>
        <v>46202</v>
      </c>
      <c r="GP1" s="254">
        <f>WORKDAY(GO1,1)</f>
        <v>46203</v>
      </c>
      <c r="GQ1" s="254">
        <f>WORKDAY(GP1,1)</f>
        <v>46204</v>
      </c>
      <c r="GR1" s="254">
        <f>WORKDAY(GQ1,1)</f>
        <v>46205</v>
      </c>
      <c r="GS1" s="254">
        <f>WORKDAY(GR1,1)</f>
        <v>46206</v>
      </c>
      <c r="GT1" s="254">
        <f t="shared" ref="GT1:HM1" si="27">WORKDAY(GS1,1)</f>
        <v>46209</v>
      </c>
      <c r="GU1" s="254">
        <f t="shared" si="27"/>
        <v>46210</v>
      </c>
      <c r="GV1" s="254">
        <f t="shared" si="27"/>
        <v>46211</v>
      </c>
      <c r="GW1" s="254">
        <f t="shared" si="27"/>
        <v>46212</v>
      </c>
      <c r="GX1" s="254">
        <f t="shared" si="27"/>
        <v>46213</v>
      </c>
      <c r="GY1" s="254">
        <f t="shared" si="27"/>
        <v>46216</v>
      </c>
      <c r="GZ1" s="254">
        <f t="shared" si="27"/>
        <v>46217</v>
      </c>
      <c r="HA1" s="254">
        <f t="shared" si="27"/>
        <v>46218</v>
      </c>
      <c r="HB1" s="254">
        <f t="shared" si="27"/>
        <v>46219</v>
      </c>
      <c r="HC1" s="254">
        <f t="shared" si="27"/>
        <v>46220</v>
      </c>
      <c r="HD1" s="254">
        <f t="shared" si="27"/>
        <v>46223</v>
      </c>
      <c r="HE1" s="254">
        <f t="shared" si="27"/>
        <v>46224</v>
      </c>
      <c r="HF1" s="254">
        <f t="shared" si="27"/>
        <v>46225</v>
      </c>
      <c r="HG1" s="254">
        <f t="shared" si="27"/>
        <v>46226</v>
      </c>
      <c r="HH1" s="254">
        <f t="shared" si="27"/>
        <v>46227</v>
      </c>
      <c r="HI1" s="254">
        <f t="shared" si="27"/>
        <v>46230</v>
      </c>
      <c r="HJ1" s="254">
        <f>WORKDAY(HI1,1)</f>
        <v>46231</v>
      </c>
      <c r="HK1" s="254">
        <f t="shared" si="27"/>
        <v>46232</v>
      </c>
      <c r="HL1" s="303">
        <f>WORKDAY(HK1,1)</f>
        <v>46233</v>
      </c>
      <c r="HM1" s="254">
        <f t="shared" si="27"/>
        <v>46234</v>
      </c>
      <c r="HN1" s="254">
        <f t="shared" ref="HN1" si="28">WORKDAY(HM1,1)</f>
        <v>46237</v>
      </c>
      <c r="HO1" s="254">
        <f t="shared" ref="HO1" si="29">WORKDAY(HN1,1)</f>
        <v>46238</v>
      </c>
      <c r="HP1" s="254">
        <f t="shared" ref="HP1" si="30">WORKDAY(HO1,1)</f>
        <v>46239</v>
      </c>
      <c r="HQ1" s="254">
        <f t="shared" ref="HQ1" si="31">WORKDAY(HP1,1)</f>
        <v>46240</v>
      </c>
      <c r="HR1" s="254">
        <f t="shared" ref="HR1" si="32">WORKDAY(HQ1,1)</f>
        <v>46241</v>
      </c>
      <c r="HS1" s="254">
        <f t="shared" ref="HS1" si="33">WORKDAY(HR1,1)</f>
        <v>46244</v>
      </c>
      <c r="HT1" s="254">
        <f t="shared" ref="HT1" si="34">WORKDAY(HS1,1)</f>
        <v>46245</v>
      </c>
      <c r="HU1" s="254">
        <f t="shared" ref="HU1" si="35">WORKDAY(HT1,1)</f>
        <v>46246</v>
      </c>
      <c r="HV1" s="254">
        <f t="shared" ref="HV1" si="36">WORKDAY(HU1,1)</f>
        <v>46247</v>
      </c>
      <c r="HW1" s="254">
        <f t="shared" ref="HW1" si="37">WORKDAY(HV1,1)</f>
        <v>46248</v>
      </c>
      <c r="HX1" s="254">
        <f t="shared" ref="HX1" si="38">WORKDAY(HW1,1)</f>
        <v>46251</v>
      </c>
      <c r="HY1" s="254">
        <f t="shared" ref="HY1" si="39">WORKDAY(HX1,1)</f>
        <v>46252</v>
      </c>
      <c r="HZ1" s="254">
        <f t="shared" ref="HZ1" si="40">WORKDAY(HY1,1)</f>
        <v>46253</v>
      </c>
      <c r="IA1" s="254">
        <f t="shared" ref="IA1" si="41">WORKDAY(HZ1,1)</f>
        <v>46254</v>
      </c>
      <c r="IB1" s="254">
        <f t="shared" ref="IB1" si="42">WORKDAY(IA1,1)</f>
        <v>46255</v>
      </c>
      <c r="IC1" s="254">
        <f t="shared" ref="IC1" si="43">WORKDAY(IB1,1)</f>
        <v>46258</v>
      </c>
      <c r="ID1" s="254">
        <f t="shared" ref="ID1" si="44">WORKDAY(IC1,1)</f>
        <v>46259</v>
      </c>
      <c r="IE1" s="254">
        <f t="shared" ref="IE1" si="45">WORKDAY(ID1,1)</f>
        <v>46260</v>
      </c>
      <c r="IF1" s="254">
        <f t="shared" ref="IF1" si="46">WORKDAY(IE1,1)</f>
        <v>46261</v>
      </c>
      <c r="IG1" s="254">
        <f t="shared" ref="IG1" si="47">WORKDAY(IF1,1)</f>
        <v>46262</v>
      </c>
      <c r="IH1" s="254">
        <f t="shared" ref="IH1" si="48">WORKDAY(IG1,1)</f>
        <v>46265</v>
      </c>
      <c r="II1" s="254">
        <f t="shared" ref="II1" si="49">WORKDAY(IH1,1)</f>
        <v>46266</v>
      </c>
      <c r="IJ1" s="254">
        <f t="shared" ref="IJ1" si="50">WORKDAY(II1,1)</f>
        <v>46267</v>
      </c>
      <c r="IK1" s="254">
        <f t="shared" ref="IK1" si="51">WORKDAY(IJ1,1)</f>
        <v>46268</v>
      </c>
      <c r="IL1" s="254">
        <f t="shared" ref="IL1" si="52">WORKDAY(IK1,1)</f>
        <v>46269</v>
      </c>
      <c r="IM1" s="254">
        <f t="shared" ref="IM1" si="53">WORKDAY(IL1,1)</f>
        <v>46272</v>
      </c>
      <c r="IN1" s="254">
        <f t="shared" ref="IN1" si="54">WORKDAY(IM1,1)</f>
        <v>46273</v>
      </c>
      <c r="IO1" s="254">
        <f t="shared" ref="IO1" si="55">WORKDAY(IN1,1)</f>
        <v>46274</v>
      </c>
      <c r="IP1" s="254">
        <f t="shared" ref="IP1" si="56">WORKDAY(IO1,1)</f>
        <v>46275</v>
      </c>
      <c r="IQ1" s="254">
        <f t="shared" ref="IQ1" si="57">WORKDAY(IP1,1)</f>
        <v>46276</v>
      </c>
      <c r="IR1" s="254">
        <f t="shared" ref="IR1" si="58">WORKDAY(IQ1,1)</f>
        <v>46279</v>
      </c>
      <c r="IS1" s="254">
        <f t="shared" ref="IS1" si="59">WORKDAY(IR1,1)</f>
        <v>46280</v>
      </c>
      <c r="IT1" s="254">
        <f t="shared" ref="IT1" si="60">WORKDAY(IS1,1)</f>
        <v>46281</v>
      </c>
      <c r="IU1" s="254">
        <f t="shared" ref="IU1" si="61">WORKDAY(IT1,1)</f>
        <v>46282</v>
      </c>
      <c r="IV1" s="254">
        <f t="shared" ref="IV1" si="62">WORKDAY(IU1,1)</f>
        <v>46283</v>
      </c>
      <c r="IW1" s="254">
        <f t="shared" ref="IW1" si="63">WORKDAY(IV1,1)</f>
        <v>46286</v>
      </c>
      <c r="IX1" s="254">
        <f t="shared" ref="IX1" si="64">WORKDAY(IW1,1)</f>
        <v>46287</v>
      </c>
      <c r="IY1" s="254">
        <f t="shared" ref="IY1" si="65">WORKDAY(IX1,1)</f>
        <v>46288</v>
      </c>
      <c r="IZ1" s="254">
        <f t="shared" ref="IZ1" si="66">WORKDAY(IY1,1)</f>
        <v>46289</v>
      </c>
      <c r="JA1" s="254">
        <f t="shared" ref="JA1" si="67">WORKDAY(IZ1,1)</f>
        <v>46290</v>
      </c>
      <c r="JB1" s="254">
        <f t="shared" ref="JB1" si="68">WORKDAY(JA1,1)</f>
        <v>46293</v>
      </c>
      <c r="JC1" s="254">
        <f t="shared" ref="JC1" si="69">WORKDAY(JB1,1)</f>
        <v>46294</v>
      </c>
      <c r="JD1" s="254">
        <f t="shared" ref="JD1" si="70">WORKDAY(JC1,1)</f>
        <v>46295</v>
      </c>
      <c r="JE1" s="254">
        <f t="shared" ref="JE1" si="71">WORKDAY(JD1,1)</f>
        <v>46296</v>
      </c>
      <c r="JF1" s="254">
        <f t="shared" ref="JF1" si="72">WORKDAY(JE1,1)</f>
        <v>46297</v>
      </c>
      <c r="JG1" s="254">
        <f t="shared" ref="JG1" si="73">WORKDAY(JF1,1)</f>
        <v>46300</v>
      </c>
      <c r="JH1" s="254">
        <f t="shared" ref="JH1" si="74">WORKDAY(JG1,1)</f>
        <v>46301</v>
      </c>
      <c r="JI1" s="254">
        <f t="shared" ref="JI1" si="75">WORKDAY(JH1,1)</f>
        <v>46302</v>
      </c>
      <c r="JJ1" s="254">
        <f t="shared" ref="JJ1" si="76">WORKDAY(JI1,1)</f>
        <v>46303</v>
      </c>
      <c r="JK1" s="254">
        <f t="shared" ref="JK1" si="77">WORKDAY(JJ1,1)</f>
        <v>46304</v>
      </c>
      <c r="JL1" s="254">
        <f t="shared" ref="JL1" si="78">WORKDAY(JK1,1)</f>
        <v>46307</v>
      </c>
      <c r="JM1" s="254">
        <f t="shared" ref="JM1" si="79">WORKDAY(JL1,1)</f>
        <v>46308</v>
      </c>
      <c r="JN1" s="254">
        <f t="shared" ref="JN1" si="80">WORKDAY(JM1,1)</f>
        <v>46309</v>
      </c>
      <c r="JO1" s="254">
        <f t="shared" ref="JO1" si="81">WORKDAY(JN1,1)</f>
        <v>46310</v>
      </c>
      <c r="JP1" s="254">
        <f t="shared" ref="JP1" si="82">WORKDAY(JO1,1)</f>
        <v>46311</v>
      </c>
      <c r="JQ1" s="254">
        <f t="shared" ref="JQ1" si="83">WORKDAY(JP1,1)</f>
        <v>46314</v>
      </c>
      <c r="JR1" s="254">
        <f t="shared" ref="JR1" si="84">WORKDAY(JQ1,1)</f>
        <v>46315</v>
      </c>
      <c r="JS1" s="254">
        <f t="shared" ref="JS1" si="85">WORKDAY(JR1,1)</f>
        <v>46316</v>
      </c>
      <c r="JT1" s="254">
        <f t="shared" ref="JT1" si="86">WORKDAY(JS1,1)</f>
        <v>46317</v>
      </c>
      <c r="JU1" s="254">
        <f t="shared" ref="JU1" si="87">WORKDAY(JT1,1)</f>
        <v>46318</v>
      </c>
      <c r="JV1" s="254">
        <f t="shared" ref="JV1" si="88">WORKDAY(JU1,1)</f>
        <v>46321</v>
      </c>
      <c r="JW1" s="254">
        <f t="shared" ref="JW1" si="89">WORKDAY(JV1,1)</f>
        <v>46322</v>
      </c>
      <c r="JX1" s="254">
        <f t="shared" ref="JX1" si="90">WORKDAY(JW1,1)</f>
        <v>46323</v>
      </c>
      <c r="JY1" s="254">
        <f t="shared" ref="JY1" si="91">WORKDAY(JX1,1)</f>
        <v>46324</v>
      </c>
      <c r="JZ1" s="254">
        <f t="shared" ref="JZ1" si="92">WORKDAY(JY1,1)</f>
        <v>46325</v>
      </c>
      <c r="KA1" s="254">
        <f t="shared" ref="KA1" si="93">WORKDAY(JZ1,1)</f>
        <v>46328</v>
      </c>
      <c r="KB1" s="254">
        <f t="shared" ref="KB1" si="94">WORKDAY(KA1,1)</f>
        <v>46329</v>
      </c>
      <c r="KC1" s="254">
        <f t="shared" ref="KC1" si="95">WORKDAY(KB1,1)</f>
        <v>46330</v>
      </c>
      <c r="KD1" s="254">
        <f t="shared" ref="KD1" si="96">WORKDAY(KC1,1)</f>
        <v>46331</v>
      </c>
      <c r="KE1" s="254">
        <f t="shared" ref="KE1" si="97">WORKDAY(KD1,1)</f>
        <v>46332</v>
      </c>
      <c r="KF1" s="254">
        <f t="shared" ref="KF1" si="98">WORKDAY(KE1,1)</f>
        <v>46335</v>
      </c>
      <c r="KG1" s="254">
        <f t="shared" ref="KG1" si="99">WORKDAY(KF1,1)</f>
        <v>46336</v>
      </c>
      <c r="KH1" s="254">
        <f t="shared" ref="KH1" si="100">WORKDAY(KG1,1)</f>
        <v>46337</v>
      </c>
      <c r="KI1" s="254">
        <f t="shared" ref="KI1" si="101">WORKDAY(KH1,1)</f>
        <v>46338</v>
      </c>
      <c r="KJ1" s="254">
        <f t="shared" ref="KJ1" si="102">WORKDAY(KI1,1)</f>
        <v>46339</v>
      </c>
      <c r="KK1" s="254">
        <f t="shared" ref="KK1" si="103">WORKDAY(KJ1,1)</f>
        <v>46342</v>
      </c>
      <c r="KL1" s="254">
        <f t="shared" ref="KL1" si="104">WORKDAY(KK1,1)</f>
        <v>46343</v>
      </c>
      <c r="KM1" s="254">
        <f t="shared" ref="KM1" si="105">WORKDAY(KL1,1)</f>
        <v>46344</v>
      </c>
      <c r="KN1" s="254">
        <f t="shared" ref="KN1" si="106">WORKDAY(KM1,1)</f>
        <v>46345</v>
      </c>
      <c r="KO1" s="254">
        <f t="shared" ref="KO1" si="107">WORKDAY(KN1,1)</f>
        <v>46346</v>
      </c>
      <c r="KP1" s="254">
        <f t="shared" ref="KP1" si="108">WORKDAY(KO1,1)</f>
        <v>46349</v>
      </c>
      <c r="KQ1" s="254">
        <f t="shared" ref="KQ1" si="109">WORKDAY(KP1,1)</f>
        <v>46350</v>
      </c>
      <c r="KR1" s="254">
        <f t="shared" ref="KR1" si="110">WORKDAY(KQ1,1)</f>
        <v>46351</v>
      </c>
      <c r="KS1" s="254">
        <f t="shared" ref="KS1" si="111">WORKDAY(KR1,1)</f>
        <v>46352</v>
      </c>
      <c r="KT1" s="254">
        <f t="shared" ref="KT1" si="112">WORKDAY(KS1,1)</f>
        <v>46353</v>
      </c>
      <c r="KU1" s="254">
        <f t="shared" ref="KU1" si="113">WORKDAY(KT1,1)</f>
        <v>46356</v>
      </c>
      <c r="KV1" s="254">
        <f t="shared" ref="KV1" si="114">WORKDAY(KU1,1)</f>
        <v>46357</v>
      </c>
      <c r="KW1" s="254">
        <f t="shared" ref="KW1" si="115">WORKDAY(KV1,1)</f>
        <v>46358</v>
      </c>
      <c r="KX1" s="254">
        <f t="shared" ref="KX1" si="116">WORKDAY(KW1,1)</f>
        <v>46359</v>
      </c>
      <c r="KY1" s="254">
        <f t="shared" ref="KY1" si="117">WORKDAY(KX1,1)</f>
        <v>46360</v>
      </c>
      <c r="KZ1" s="254">
        <f t="shared" ref="KZ1" si="118">WORKDAY(KY1,1)</f>
        <v>46363</v>
      </c>
      <c r="LA1" s="254">
        <f t="shared" ref="LA1" si="119">WORKDAY(KZ1,1)</f>
        <v>46364</v>
      </c>
      <c r="LB1" s="254">
        <f t="shared" ref="LB1" si="120">WORKDAY(LA1,1)</f>
        <v>46365</v>
      </c>
      <c r="LC1" s="254">
        <f t="shared" ref="LC1" si="121">WORKDAY(LB1,1)</f>
        <v>46366</v>
      </c>
      <c r="LD1" s="254">
        <f t="shared" ref="LD1" si="122">WORKDAY(LC1,1)</f>
        <v>46367</v>
      </c>
      <c r="LE1" s="254">
        <f t="shared" ref="LE1" si="123">WORKDAY(LD1,1)</f>
        <v>46370</v>
      </c>
      <c r="LF1" s="254">
        <f t="shared" ref="LF1" si="124">WORKDAY(LE1,1)</f>
        <v>46371</v>
      </c>
      <c r="LG1" s="254">
        <f t="shared" ref="LG1" si="125">WORKDAY(LF1,1)</f>
        <v>46372</v>
      </c>
      <c r="LH1" s="254">
        <f t="shared" ref="LH1" si="126">WORKDAY(LG1,1)</f>
        <v>46373</v>
      </c>
      <c r="LI1" s="254">
        <f t="shared" ref="LI1" si="127">WORKDAY(LH1,1)</f>
        <v>46374</v>
      </c>
      <c r="LJ1" s="254">
        <f t="shared" ref="LJ1" si="128">WORKDAY(LI1,1)</f>
        <v>46377</v>
      </c>
      <c r="LK1" s="254">
        <f t="shared" ref="LK1" si="129">WORKDAY(LJ1,1)</f>
        <v>46378</v>
      </c>
      <c r="LL1" s="254">
        <f t="shared" ref="LL1" si="130">WORKDAY(LK1,1)</f>
        <v>46379</v>
      </c>
      <c r="LM1" s="254">
        <f t="shared" ref="LM1" si="131">WORKDAY(LL1,1)</f>
        <v>46380</v>
      </c>
      <c r="LN1" s="254">
        <f t="shared" ref="LN1" si="132">WORKDAY(LM1,1)</f>
        <v>46381</v>
      </c>
      <c r="LO1" s="254">
        <f t="shared" ref="LO1" si="133">WORKDAY(LN1,1)</f>
        <v>46384</v>
      </c>
      <c r="LP1" s="254">
        <f t="shared" ref="LP1" si="134">WORKDAY(LO1,1)</f>
        <v>46385</v>
      </c>
      <c r="LQ1" s="254">
        <f t="shared" ref="LQ1" si="135">WORKDAY(LP1,1)</f>
        <v>46386</v>
      </c>
      <c r="LR1" s="254">
        <f t="shared" ref="LR1" si="136">WORKDAY(LQ1,1)</f>
        <v>46387</v>
      </c>
      <c r="LS1" s="254">
        <f t="shared" ref="LS1" si="137">WORKDAY(LR1,1)</f>
        <v>46388</v>
      </c>
      <c r="LT1" s="254">
        <f t="shared" ref="LT1" si="138">WORKDAY(LS1,1)</f>
        <v>46391</v>
      </c>
      <c r="LU1" s="254">
        <f t="shared" ref="LU1" si="139">WORKDAY(LT1,1)</f>
        <v>46392</v>
      </c>
      <c r="LV1" s="303">
        <f t="shared" ref="LV1" si="140">WORKDAY(LU1,1)</f>
        <v>46393</v>
      </c>
      <c r="LW1" s="254">
        <f t="shared" ref="LW1" si="141">WORKDAY(LV1,1)</f>
        <v>46394</v>
      </c>
      <c r="LX1" s="254">
        <f t="shared" ref="LX1" si="142">WORKDAY(LW1,1)</f>
        <v>46395</v>
      </c>
      <c r="LY1" s="254">
        <f t="shared" ref="LY1" si="143">WORKDAY(LX1,1)</f>
        <v>46398</v>
      </c>
      <c r="LZ1" s="254">
        <f t="shared" ref="LZ1" si="144">WORKDAY(LY1,1)</f>
        <v>46399</v>
      </c>
      <c r="MA1" s="254">
        <f t="shared" ref="MA1" si="145">WORKDAY(LZ1,1)</f>
        <v>46400</v>
      </c>
      <c r="MB1" s="254">
        <f t="shared" ref="MB1" si="146">WORKDAY(MA1,1)</f>
        <v>46401</v>
      </c>
      <c r="MC1" s="254">
        <f t="shared" ref="MC1" si="147">WORKDAY(MB1,1)</f>
        <v>46402</v>
      </c>
      <c r="MD1" s="254">
        <f t="shared" ref="MD1" si="148">WORKDAY(MC1,1)</f>
        <v>46405</v>
      </c>
      <c r="ME1" s="254">
        <f t="shared" ref="ME1" si="149">WORKDAY(MD1,1)</f>
        <v>46406</v>
      </c>
      <c r="MF1" s="254">
        <f t="shared" ref="MF1" si="150">WORKDAY(ME1,1)</f>
        <v>46407</v>
      </c>
      <c r="MG1" s="254">
        <f t="shared" ref="MG1" si="151">WORKDAY(MF1,1)</f>
        <v>46408</v>
      </c>
      <c r="MH1" s="254">
        <f t="shared" ref="MH1" si="152">WORKDAY(MG1,1)</f>
        <v>46409</v>
      </c>
      <c r="MI1" s="254">
        <f t="shared" ref="MI1" si="153">WORKDAY(MH1,1)</f>
        <v>46412</v>
      </c>
      <c r="MJ1" s="254">
        <f t="shared" ref="MJ1" si="154">WORKDAY(MI1,1)</f>
        <v>46413</v>
      </c>
      <c r="MK1" s="254">
        <f t="shared" ref="MK1" si="155">WORKDAY(MJ1,1)</f>
        <v>46414</v>
      </c>
      <c r="ML1" s="254">
        <f t="shared" ref="ML1" si="156">WORKDAY(MK1,1)</f>
        <v>46415</v>
      </c>
      <c r="MM1" s="254">
        <f t="shared" ref="MM1" si="157">WORKDAY(ML1,1)</f>
        <v>46416</v>
      </c>
      <c r="MN1" s="254">
        <f t="shared" ref="MN1" si="158">WORKDAY(MM1,1)</f>
        <v>46419</v>
      </c>
      <c r="MO1" s="254">
        <f t="shared" ref="MO1" si="159">WORKDAY(MN1,1)</f>
        <v>46420</v>
      </c>
      <c r="MP1" s="254">
        <f t="shared" ref="MP1" si="160">WORKDAY(MO1,1)</f>
        <v>46421</v>
      </c>
      <c r="MQ1" s="254">
        <f t="shared" ref="MQ1" si="161">WORKDAY(MP1,1)</f>
        <v>46422</v>
      </c>
      <c r="MR1" s="254">
        <f t="shared" ref="MR1" si="162">WORKDAY(MQ1,1)</f>
        <v>46423</v>
      </c>
      <c r="MS1" s="254">
        <f t="shared" ref="MS1" si="163">WORKDAY(MR1,1)</f>
        <v>46426</v>
      </c>
      <c r="MT1" s="254">
        <f t="shared" ref="MT1" si="164">WORKDAY(MS1,1)</f>
        <v>46427</v>
      </c>
      <c r="MU1" s="254">
        <f t="shared" ref="MU1" si="165">WORKDAY(MT1,1)</f>
        <v>46428</v>
      </c>
      <c r="MV1" s="254">
        <f t="shared" ref="MV1" si="166">WORKDAY(MU1,1)</f>
        <v>46429</v>
      </c>
      <c r="MW1" s="254">
        <f t="shared" ref="MW1" si="167">WORKDAY(MV1,1)</f>
        <v>46430</v>
      </c>
      <c r="MX1" s="254">
        <f t="shared" ref="MX1" si="168">WORKDAY(MW1,1)</f>
        <v>46433</v>
      </c>
      <c r="MY1" s="254">
        <f t="shared" ref="MY1" si="169">WORKDAY(MX1,1)</f>
        <v>46434</v>
      </c>
    </row>
    <row r="2" spans="1:364">
      <c r="A2" s="305"/>
      <c r="B2" s="306" t="s">
        <v>50</v>
      </c>
      <c r="C2" s="306" t="s">
        <v>51</v>
      </c>
      <c r="D2" s="306" t="s">
        <v>52</v>
      </c>
      <c r="E2" s="306" t="s">
        <v>53</v>
      </c>
      <c r="F2" s="306" t="s">
        <v>54</v>
      </c>
      <c r="G2" s="306" t="s">
        <v>50</v>
      </c>
      <c r="H2" s="306" t="s">
        <v>51</v>
      </c>
      <c r="I2" s="306" t="s">
        <v>52</v>
      </c>
      <c r="J2" s="306" t="s">
        <v>53</v>
      </c>
      <c r="K2" s="306" t="s">
        <v>54</v>
      </c>
      <c r="L2" s="306" t="s">
        <v>50</v>
      </c>
      <c r="M2" s="306" t="s">
        <v>51</v>
      </c>
      <c r="N2" s="306" t="s">
        <v>52</v>
      </c>
      <c r="O2" s="307" t="s">
        <v>53</v>
      </c>
      <c r="P2" s="306" t="s">
        <v>54</v>
      </c>
      <c r="Q2" s="306" t="s">
        <v>50</v>
      </c>
      <c r="R2" s="306" t="s">
        <v>51</v>
      </c>
      <c r="S2" s="306" t="s">
        <v>52</v>
      </c>
      <c r="T2" s="306" t="s">
        <v>53</v>
      </c>
      <c r="U2" s="306" t="s">
        <v>54</v>
      </c>
      <c r="V2" s="306" t="s">
        <v>50</v>
      </c>
      <c r="W2" s="306" t="s">
        <v>51</v>
      </c>
      <c r="X2" s="306" t="s">
        <v>52</v>
      </c>
      <c r="Y2" s="306" t="s">
        <v>53</v>
      </c>
      <c r="Z2" s="306" t="s">
        <v>54</v>
      </c>
      <c r="AA2" s="306" t="s">
        <v>50</v>
      </c>
      <c r="AB2" s="306" t="s">
        <v>51</v>
      </c>
      <c r="AC2" s="306" t="s">
        <v>52</v>
      </c>
      <c r="AD2" s="306" t="s">
        <v>53</v>
      </c>
      <c r="AE2" s="306" t="s">
        <v>54</v>
      </c>
      <c r="AF2" s="306" t="s">
        <v>50</v>
      </c>
      <c r="AG2" s="306" t="s">
        <v>51</v>
      </c>
      <c r="AH2" s="306" t="s">
        <v>52</v>
      </c>
      <c r="AI2" s="306" t="s">
        <v>53</v>
      </c>
      <c r="AJ2" s="306" t="s">
        <v>54</v>
      </c>
      <c r="AK2" s="306" t="s">
        <v>50</v>
      </c>
      <c r="AL2" s="306" t="s">
        <v>51</v>
      </c>
      <c r="AM2" s="306" t="s">
        <v>52</v>
      </c>
      <c r="AN2" s="306" t="s">
        <v>53</v>
      </c>
      <c r="AO2" s="306" t="s">
        <v>54</v>
      </c>
      <c r="AP2" s="306" t="s">
        <v>50</v>
      </c>
      <c r="AQ2" s="306" t="s">
        <v>51</v>
      </c>
      <c r="AR2" s="306" t="s">
        <v>52</v>
      </c>
      <c r="AS2" s="306" t="s">
        <v>53</v>
      </c>
      <c r="AT2" s="306" t="s">
        <v>54</v>
      </c>
      <c r="AU2" s="306" t="s">
        <v>50</v>
      </c>
      <c r="AV2" s="306" t="s">
        <v>51</v>
      </c>
      <c r="AW2" s="306" t="s">
        <v>52</v>
      </c>
      <c r="AX2" s="306" t="s">
        <v>53</v>
      </c>
      <c r="AY2" s="306" t="s">
        <v>54</v>
      </c>
      <c r="AZ2" s="306" t="s">
        <v>50</v>
      </c>
      <c r="BA2" s="306" t="s">
        <v>51</v>
      </c>
      <c r="BB2" s="306" t="s">
        <v>52</v>
      </c>
      <c r="BC2" s="306" t="s">
        <v>53</v>
      </c>
      <c r="BD2" s="306" t="s">
        <v>54</v>
      </c>
      <c r="BE2" s="306" t="s">
        <v>50</v>
      </c>
      <c r="BF2" s="306" t="s">
        <v>51</v>
      </c>
      <c r="BG2" s="306" t="s">
        <v>52</v>
      </c>
      <c r="BH2" s="306" t="s">
        <v>53</v>
      </c>
      <c r="BI2" s="306" t="s">
        <v>54</v>
      </c>
      <c r="BJ2" s="306" t="s">
        <v>50</v>
      </c>
      <c r="BK2" s="306" t="s">
        <v>51</v>
      </c>
      <c r="BL2" s="306" t="s">
        <v>52</v>
      </c>
      <c r="BM2" s="306" t="s">
        <v>53</v>
      </c>
      <c r="BN2" s="306" t="s">
        <v>54</v>
      </c>
      <c r="BO2" s="306" t="s">
        <v>50</v>
      </c>
      <c r="BP2" s="306" t="s">
        <v>51</v>
      </c>
      <c r="BQ2" s="306" t="s">
        <v>52</v>
      </c>
      <c r="BR2" s="306" t="s">
        <v>53</v>
      </c>
      <c r="BS2" s="306" t="s">
        <v>54</v>
      </c>
      <c r="BT2" s="306" t="s">
        <v>50</v>
      </c>
      <c r="BU2" s="306" t="s">
        <v>51</v>
      </c>
      <c r="BV2" s="306" t="s">
        <v>52</v>
      </c>
      <c r="BW2" s="306" t="s">
        <v>53</v>
      </c>
      <c r="BX2" s="306" t="s">
        <v>54</v>
      </c>
      <c r="BY2" s="306" t="s">
        <v>50</v>
      </c>
      <c r="BZ2" s="306" t="s">
        <v>51</v>
      </c>
      <c r="CA2" s="306" t="s">
        <v>52</v>
      </c>
      <c r="CB2" s="306" t="s">
        <v>53</v>
      </c>
      <c r="CC2" s="306" t="s">
        <v>54</v>
      </c>
      <c r="CD2" s="306" t="s">
        <v>50</v>
      </c>
      <c r="CE2" s="306" t="s">
        <v>51</v>
      </c>
      <c r="CF2" s="306" t="s">
        <v>52</v>
      </c>
      <c r="CG2" s="306" t="s">
        <v>53</v>
      </c>
      <c r="CH2" s="306" t="s">
        <v>54</v>
      </c>
      <c r="CI2" s="306" t="s">
        <v>50</v>
      </c>
      <c r="CJ2" s="306" t="s">
        <v>51</v>
      </c>
      <c r="CK2" s="306" t="s">
        <v>52</v>
      </c>
      <c r="CL2" s="306" t="s">
        <v>53</v>
      </c>
      <c r="CM2" s="306" t="s">
        <v>54</v>
      </c>
      <c r="CN2" s="306" t="s">
        <v>50</v>
      </c>
      <c r="CO2" s="306" t="s">
        <v>51</v>
      </c>
      <c r="CP2" s="306" t="s">
        <v>52</v>
      </c>
      <c r="CQ2" s="306" t="s">
        <v>53</v>
      </c>
      <c r="CR2" s="306" t="s">
        <v>54</v>
      </c>
      <c r="CS2" s="306" t="s">
        <v>50</v>
      </c>
      <c r="CT2" s="306" t="s">
        <v>51</v>
      </c>
      <c r="CU2" s="306" t="s">
        <v>52</v>
      </c>
      <c r="CV2" s="306" t="s">
        <v>53</v>
      </c>
      <c r="CW2" s="306" t="s">
        <v>54</v>
      </c>
      <c r="CX2" s="306" t="s">
        <v>50</v>
      </c>
      <c r="CY2" s="306" t="s">
        <v>51</v>
      </c>
      <c r="CZ2" s="306" t="s">
        <v>52</v>
      </c>
      <c r="DA2" s="306" t="s">
        <v>53</v>
      </c>
      <c r="DB2" s="306" t="s">
        <v>54</v>
      </c>
      <c r="DC2" s="306" t="s">
        <v>50</v>
      </c>
      <c r="DD2" s="306" t="s">
        <v>51</v>
      </c>
      <c r="DE2" s="306" t="s">
        <v>52</v>
      </c>
      <c r="DF2" s="306" t="s">
        <v>53</v>
      </c>
      <c r="DG2" s="306" t="s">
        <v>54</v>
      </c>
      <c r="DH2" s="306" t="s">
        <v>50</v>
      </c>
      <c r="DI2" s="306" t="s">
        <v>51</v>
      </c>
      <c r="DJ2" s="306" t="s">
        <v>52</v>
      </c>
      <c r="DK2" s="306" t="s">
        <v>53</v>
      </c>
      <c r="DL2" s="306" t="s">
        <v>54</v>
      </c>
      <c r="DM2" s="306" t="s">
        <v>50</v>
      </c>
      <c r="DN2" s="306" t="s">
        <v>51</v>
      </c>
      <c r="DO2" s="306" t="s">
        <v>52</v>
      </c>
      <c r="DP2" s="306" t="s">
        <v>53</v>
      </c>
      <c r="DQ2" s="306" t="s">
        <v>54</v>
      </c>
      <c r="DR2" s="306" t="s">
        <v>50</v>
      </c>
      <c r="DS2" s="306" t="s">
        <v>51</v>
      </c>
      <c r="DT2" s="308" t="s">
        <v>52</v>
      </c>
      <c r="DU2" s="308" t="s">
        <v>53</v>
      </c>
      <c r="DV2" s="308" t="s">
        <v>54</v>
      </c>
      <c r="DW2" s="308" t="s">
        <v>50</v>
      </c>
      <c r="DX2" s="308" t="s">
        <v>51</v>
      </c>
      <c r="DY2" s="308" t="s">
        <v>52</v>
      </c>
      <c r="DZ2" s="308" t="s">
        <v>53</v>
      </c>
      <c r="EA2" s="308" t="s">
        <v>54</v>
      </c>
      <c r="EB2" s="309" t="s">
        <v>50</v>
      </c>
      <c r="EC2" s="310" t="s">
        <v>51</v>
      </c>
      <c r="ED2" s="311" t="s">
        <v>52</v>
      </c>
      <c r="EE2" s="312" t="s">
        <v>53</v>
      </c>
      <c r="EF2" s="312" t="s">
        <v>54</v>
      </c>
      <c r="EG2" s="312" t="s">
        <v>50</v>
      </c>
      <c r="EH2" s="312" t="s">
        <v>51</v>
      </c>
      <c r="EI2" s="312" t="s">
        <v>52</v>
      </c>
      <c r="EJ2" s="310" t="s">
        <v>53</v>
      </c>
      <c r="EK2" s="310" t="s">
        <v>54</v>
      </c>
      <c r="EL2" s="310" t="s">
        <v>50</v>
      </c>
      <c r="EM2" s="310" t="s">
        <v>51</v>
      </c>
      <c r="EN2" s="310" t="s">
        <v>52</v>
      </c>
      <c r="EO2" s="310" t="s">
        <v>53</v>
      </c>
      <c r="EP2" s="310" t="s">
        <v>54</v>
      </c>
      <c r="EQ2" s="310" t="s">
        <v>50</v>
      </c>
      <c r="ER2" s="310" t="s">
        <v>51</v>
      </c>
      <c r="ES2" s="310" t="s">
        <v>52</v>
      </c>
      <c r="ET2" s="310" t="s">
        <v>53</v>
      </c>
      <c r="EU2" s="310" t="s">
        <v>54</v>
      </c>
      <c r="EV2" s="310" t="s">
        <v>50</v>
      </c>
      <c r="EW2" s="310" t="s">
        <v>51</v>
      </c>
      <c r="EX2" s="310" t="s">
        <v>52</v>
      </c>
      <c r="EY2" s="310" t="s">
        <v>53</v>
      </c>
      <c r="EZ2" s="312" t="s">
        <v>54</v>
      </c>
      <c r="FA2" s="312" t="s">
        <v>50</v>
      </c>
      <c r="FB2" s="312" t="s">
        <v>51</v>
      </c>
      <c r="FC2" s="312" t="s">
        <v>52</v>
      </c>
      <c r="FD2" s="312" t="s">
        <v>53</v>
      </c>
      <c r="FE2" s="312" t="s">
        <v>54</v>
      </c>
      <c r="FF2" s="312" t="s">
        <v>50</v>
      </c>
      <c r="FG2" s="312" t="s">
        <v>51</v>
      </c>
      <c r="FH2" s="312" t="s">
        <v>52</v>
      </c>
      <c r="FI2" s="310" t="s">
        <v>53</v>
      </c>
      <c r="FJ2" s="310" t="s">
        <v>54</v>
      </c>
      <c r="FK2" s="310" t="s">
        <v>50</v>
      </c>
      <c r="FL2" s="310" t="s">
        <v>51</v>
      </c>
      <c r="FM2" s="310" t="s">
        <v>52</v>
      </c>
      <c r="FN2" s="310" t="s">
        <v>53</v>
      </c>
      <c r="FO2" s="310" t="s">
        <v>54</v>
      </c>
      <c r="FP2" s="311" t="s">
        <v>50</v>
      </c>
      <c r="FQ2" s="310" t="s">
        <v>51</v>
      </c>
      <c r="FR2" s="312" t="s">
        <v>52</v>
      </c>
      <c r="FS2" s="312" t="s">
        <v>53</v>
      </c>
      <c r="FT2" s="312" t="s">
        <v>54</v>
      </c>
      <c r="FU2" s="312" t="s">
        <v>50</v>
      </c>
      <c r="FV2" s="312" t="s">
        <v>51</v>
      </c>
      <c r="FW2" s="312" t="s">
        <v>52</v>
      </c>
      <c r="FX2" s="312" t="s">
        <v>53</v>
      </c>
      <c r="FY2" s="312" t="s">
        <v>54</v>
      </c>
      <c r="FZ2" s="312" t="s">
        <v>50</v>
      </c>
      <c r="GA2" s="312" t="s">
        <v>51</v>
      </c>
      <c r="GB2" s="312" t="s">
        <v>52</v>
      </c>
      <c r="GC2" s="312" t="s">
        <v>53</v>
      </c>
      <c r="GD2" s="313" t="s">
        <v>54</v>
      </c>
      <c r="GE2" s="312" t="s">
        <v>50</v>
      </c>
      <c r="GF2" s="312" t="s">
        <v>51</v>
      </c>
      <c r="GG2" s="312" t="s">
        <v>52</v>
      </c>
      <c r="GH2" s="312" t="s">
        <v>53</v>
      </c>
      <c r="GI2" s="310" t="s">
        <v>54</v>
      </c>
      <c r="GJ2" s="313" t="s">
        <v>50</v>
      </c>
      <c r="GK2" s="312" t="s">
        <v>51</v>
      </c>
      <c r="GL2" s="312" t="s">
        <v>52</v>
      </c>
      <c r="GM2" s="312" t="s">
        <v>53</v>
      </c>
      <c r="GN2" s="312" t="s">
        <v>54</v>
      </c>
      <c r="GO2" s="312" t="s">
        <v>50</v>
      </c>
      <c r="GP2" s="312" t="s">
        <v>51</v>
      </c>
      <c r="GQ2" s="312" t="s">
        <v>52</v>
      </c>
      <c r="GR2" s="312" t="s">
        <v>53</v>
      </c>
      <c r="GS2" s="312" t="s">
        <v>54</v>
      </c>
      <c r="GT2" s="310" t="s">
        <v>50</v>
      </c>
      <c r="GU2" s="312" t="s">
        <v>51</v>
      </c>
      <c r="GV2" s="312" t="s">
        <v>52</v>
      </c>
      <c r="GW2" s="312" t="s">
        <v>53</v>
      </c>
      <c r="GX2" s="312" t="s">
        <v>54</v>
      </c>
      <c r="GY2" s="312" t="s">
        <v>50</v>
      </c>
      <c r="GZ2" s="312" t="s">
        <v>51</v>
      </c>
      <c r="HA2" s="312" t="s">
        <v>52</v>
      </c>
      <c r="HB2" s="312" t="s">
        <v>53</v>
      </c>
      <c r="HC2" s="312" t="s">
        <v>54</v>
      </c>
      <c r="HD2" s="312" t="s">
        <v>50</v>
      </c>
      <c r="HE2" s="312" t="s">
        <v>51</v>
      </c>
      <c r="HF2" s="312" t="s">
        <v>52</v>
      </c>
      <c r="HG2" s="312" t="s">
        <v>53</v>
      </c>
      <c r="HH2" s="312" t="s">
        <v>54</v>
      </c>
      <c r="HI2" s="312" t="s">
        <v>50</v>
      </c>
      <c r="HJ2" s="310" t="s">
        <v>51</v>
      </c>
      <c r="HK2" s="312" t="s">
        <v>52</v>
      </c>
      <c r="HL2" s="313" t="s">
        <v>53</v>
      </c>
      <c r="HM2" s="312" t="s">
        <v>54</v>
      </c>
      <c r="HN2" s="312" t="s">
        <v>50</v>
      </c>
      <c r="HO2" s="312" t="s">
        <v>51</v>
      </c>
      <c r="HP2" s="312" t="s">
        <v>52</v>
      </c>
      <c r="HQ2" s="312" t="s">
        <v>53</v>
      </c>
      <c r="HR2" s="312" t="s">
        <v>54</v>
      </c>
      <c r="HS2" s="312" t="s">
        <v>50</v>
      </c>
      <c r="HT2" s="312" t="s">
        <v>51</v>
      </c>
      <c r="HU2" s="312" t="s">
        <v>52</v>
      </c>
      <c r="HV2" s="312" t="s">
        <v>53</v>
      </c>
      <c r="HW2" s="312" t="s">
        <v>54</v>
      </c>
      <c r="HX2" s="312" t="s">
        <v>50</v>
      </c>
      <c r="HY2" s="312" t="s">
        <v>51</v>
      </c>
      <c r="HZ2" s="312" t="s">
        <v>52</v>
      </c>
      <c r="IA2" s="312" t="s">
        <v>53</v>
      </c>
      <c r="IB2" s="312" t="s">
        <v>54</v>
      </c>
      <c r="IC2" s="312" t="s">
        <v>50</v>
      </c>
      <c r="ID2" s="312" t="s">
        <v>51</v>
      </c>
      <c r="IE2" s="312" t="s">
        <v>52</v>
      </c>
      <c r="IF2" s="312" t="s">
        <v>53</v>
      </c>
      <c r="IG2" s="312" t="s">
        <v>54</v>
      </c>
      <c r="IH2" s="312" t="s">
        <v>50</v>
      </c>
      <c r="II2" s="312" t="s">
        <v>51</v>
      </c>
      <c r="IJ2" s="312" t="s">
        <v>52</v>
      </c>
      <c r="IK2" s="312" t="s">
        <v>53</v>
      </c>
      <c r="IL2" s="312" t="s">
        <v>54</v>
      </c>
      <c r="IM2" s="312" t="s">
        <v>50</v>
      </c>
      <c r="IN2" s="312" t="s">
        <v>51</v>
      </c>
      <c r="IO2" s="312" t="s">
        <v>52</v>
      </c>
      <c r="IP2" s="312" t="s">
        <v>53</v>
      </c>
      <c r="IQ2" s="312" t="s">
        <v>54</v>
      </c>
      <c r="IR2" s="312" t="s">
        <v>50</v>
      </c>
      <c r="IS2" s="312" t="s">
        <v>51</v>
      </c>
      <c r="IT2" s="312" t="s">
        <v>52</v>
      </c>
      <c r="IU2" s="312" t="s">
        <v>53</v>
      </c>
      <c r="IV2" s="312" t="s">
        <v>54</v>
      </c>
      <c r="IW2" s="312" t="s">
        <v>50</v>
      </c>
      <c r="IX2" s="312" t="s">
        <v>51</v>
      </c>
      <c r="IY2" s="312" t="s">
        <v>52</v>
      </c>
      <c r="IZ2" s="312" t="s">
        <v>53</v>
      </c>
      <c r="JA2" s="312" t="s">
        <v>54</v>
      </c>
      <c r="JB2" s="312" t="s">
        <v>50</v>
      </c>
      <c r="JC2" s="312" t="s">
        <v>51</v>
      </c>
      <c r="JD2" s="312" t="s">
        <v>52</v>
      </c>
      <c r="JE2" s="312" t="s">
        <v>53</v>
      </c>
      <c r="JF2" s="312" t="s">
        <v>54</v>
      </c>
      <c r="JG2" s="312" t="s">
        <v>50</v>
      </c>
      <c r="JH2" s="312" t="s">
        <v>51</v>
      </c>
      <c r="JI2" s="312" t="s">
        <v>52</v>
      </c>
      <c r="JJ2" s="312" t="s">
        <v>53</v>
      </c>
      <c r="JK2" s="312" t="s">
        <v>54</v>
      </c>
      <c r="JL2" s="312" t="s">
        <v>50</v>
      </c>
      <c r="JM2" s="312" t="s">
        <v>51</v>
      </c>
      <c r="JN2" s="312" t="s">
        <v>52</v>
      </c>
      <c r="JO2" s="312" t="s">
        <v>53</v>
      </c>
      <c r="JP2" s="312" t="s">
        <v>54</v>
      </c>
      <c r="JQ2" s="312" t="s">
        <v>50</v>
      </c>
      <c r="JR2" s="312" t="s">
        <v>51</v>
      </c>
      <c r="JS2" s="312" t="s">
        <v>52</v>
      </c>
      <c r="JT2" s="312" t="s">
        <v>53</v>
      </c>
      <c r="JU2" s="312" t="s">
        <v>54</v>
      </c>
      <c r="JV2" s="312" t="s">
        <v>50</v>
      </c>
      <c r="JW2" s="312" t="s">
        <v>51</v>
      </c>
      <c r="JX2" s="312" t="s">
        <v>52</v>
      </c>
      <c r="JY2" s="312" t="s">
        <v>53</v>
      </c>
      <c r="JZ2" s="312" t="s">
        <v>54</v>
      </c>
      <c r="KA2" s="312" t="s">
        <v>50</v>
      </c>
      <c r="KB2" s="312" t="s">
        <v>51</v>
      </c>
      <c r="KC2" s="312" t="s">
        <v>52</v>
      </c>
      <c r="KD2" s="312" t="s">
        <v>53</v>
      </c>
      <c r="KE2" s="312" t="s">
        <v>54</v>
      </c>
      <c r="KF2" s="312" t="s">
        <v>50</v>
      </c>
      <c r="KG2" s="312" t="s">
        <v>51</v>
      </c>
      <c r="KH2" s="312" t="s">
        <v>52</v>
      </c>
      <c r="KI2" s="312" t="s">
        <v>53</v>
      </c>
      <c r="KJ2" s="312" t="s">
        <v>54</v>
      </c>
      <c r="KK2" s="312" t="s">
        <v>50</v>
      </c>
      <c r="KL2" s="312" t="s">
        <v>51</v>
      </c>
      <c r="KM2" s="312" t="s">
        <v>52</v>
      </c>
      <c r="KN2" s="312" t="s">
        <v>53</v>
      </c>
      <c r="KO2" s="312" t="s">
        <v>54</v>
      </c>
      <c r="KP2" s="312" t="s">
        <v>50</v>
      </c>
      <c r="KQ2" s="312" t="s">
        <v>51</v>
      </c>
      <c r="KR2" s="312" t="s">
        <v>52</v>
      </c>
      <c r="KS2" s="312" t="s">
        <v>53</v>
      </c>
      <c r="KT2" s="312" t="s">
        <v>54</v>
      </c>
      <c r="KU2" s="312" t="s">
        <v>50</v>
      </c>
      <c r="KV2" s="312" t="s">
        <v>51</v>
      </c>
      <c r="KW2" s="312" t="s">
        <v>52</v>
      </c>
      <c r="KX2" s="312" t="s">
        <v>53</v>
      </c>
      <c r="KY2" s="312" t="s">
        <v>54</v>
      </c>
      <c r="KZ2" s="312" t="s">
        <v>50</v>
      </c>
      <c r="LA2" s="312" t="s">
        <v>51</v>
      </c>
      <c r="LB2" s="312" t="s">
        <v>52</v>
      </c>
      <c r="LC2" s="312" t="s">
        <v>53</v>
      </c>
      <c r="LD2" s="312" t="s">
        <v>54</v>
      </c>
      <c r="LE2" s="312" t="s">
        <v>50</v>
      </c>
      <c r="LF2" s="312" t="s">
        <v>51</v>
      </c>
      <c r="LG2" s="312" t="s">
        <v>52</v>
      </c>
      <c r="LH2" s="312" t="s">
        <v>53</v>
      </c>
      <c r="LI2" s="312" t="s">
        <v>54</v>
      </c>
      <c r="LJ2" s="312" t="s">
        <v>50</v>
      </c>
      <c r="LK2" s="312" t="s">
        <v>51</v>
      </c>
      <c r="LL2" s="312" t="s">
        <v>52</v>
      </c>
      <c r="LM2" s="312" t="s">
        <v>53</v>
      </c>
      <c r="LN2" s="312" t="s">
        <v>54</v>
      </c>
      <c r="LO2" s="312" t="s">
        <v>50</v>
      </c>
      <c r="LP2" s="312" t="s">
        <v>51</v>
      </c>
      <c r="LQ2" s="312" t="s">
        <v>52</v>
      </c>
      <c r="LR2" s="312" t="s">
        <v>53</v>
      </c>
      <c r="LS2" s="312" t="s">
        <v>54</v>
      </c>
      <c r="LT2" s="312" t="s">
        <v>50</v>
      </c>
      <c r="LU2" s="312" t="s">
        <v>51</v>
      </c>
      <c r="LV2" s="313" t="s">
        <v>52</v>
      </c>
      <c r="LW2" s="312" t="s">
        <v>53</v>
      </c>
      <c r="LX2" s="312" t="s">
        <v>54</v>
      </c>
      <c r="LY2" s="312" t="s">
        <v>50</v>
      </c>
      <c r="LZ2" s="312" t="s">
        <v>51</v>
      </c>
      <c r="MA2" s="312" t="s">
        <v>52</v>
      </c>
      <c r="MB2" s="312" t="s">
        <v>53</v>
      </c>
      <c r="MC2" s="312" t="s">
        <v>54</v>
      </c>
      <c r="MD2" s="312" t="s">
        <v>50</v>
      </c>
      <c r="ME2" s="312" t="s">
        <v>51</v>
      </c>
      <c r="MF2" s="312" t="s">
        <v>52</v>
      </c>
      <c r="MG2" s="312" t="s">
        <v>53</v>
      </c>
      <c r="MH2" s="312" t="s">
        <v>54</v>
      </c>
      <c r="MI2" s="312" t="s">
        <v>50</v>
      </c>
      <c r="MJ2" s="312" t="s">
        <v>51</v>
      </c>
      <c r="MK2" s="312" t="s">
        <v>52</v>
      </c>
      <c r="ML2" s="312" t="s">
        <v>53</v>
      </c>
      <c r="MM2" s="312" t="s">
        <v>54</v>
      </c>
      <c r="MN2" s="312" t="s">
        <v>50</v>
      </c>
      <c r="MO2" s="312" t="s">
        <v>51</v>
      </c>
      <c r="MP2" s="312" t="s">
        <v>52</v>
      </c>
      <c r="MQ2" s="312" t="s">
        <v>53</v>
      </c>
      <c r="MR2" s="312" t="s">
        <v>54</v>
      </c>
      <c r="MS2" s="312" t="s">
        <v>50</v>
      </c>
      <c r="MT2" s="312" t="s">
        <v>51</v>
      </c>
      <c r="MU2" s="312" t="s">
        <v>52</v>
      </c>
      <c r="MV2" s="312" t="s">
        <v>53</v>
      </c>
      <c r="MW2" s="312" t="s">
        <v>54</v>
      </c>
    </row>
    <row r="3" spans="1:364" ht="112.5" customHeight="1">
      <c r="A3" s="11" t="s">
        <v>16</v>
      </c>
      <c r="B3" s="12" t="s">
        <v>18</v>
      </c>
      <c r="C3" s="12" t="s">
        <v>18</v>
      </c>
      <c r="D3" s="12" t="s">
        <v>18</v>
      </c>
      <c r="E3" s="13" t="s">
        <v>836</v>
      </c>
      <c r="F3" s="13" t="s">
        <v>836</v>
      </c>
      <c r="G3" s="13" t="s">
        <v>836</v>
      </c>
      <c r="H3" s="13" t="s">
        <v>836</v>
      </c>
      <c r="I3" s="13" t="s">
        <v>837</v>
      </c>
      <c r="J3" s="13" t="s">
        <v>837</v>
      </c>
      <c r="K3" s="13" t="s">
        <v>837</v>
      </c>
      <c r="L3" s="13" t="s">
        <v>838</v>
      </c>
      <c r="M3" s="13" t="s">
        <v>838</v>
      </c>
      <c r="N3" s="13" t="s">
        <v>838</v>
      </c>
      <c r="O3" s="13" t="s">
        <v>838</v>
      </c>
      <c r="P3" s="13" t="s">
        <v>838</v>
      </c>
      <c r="Q3" s="13" t="s">
        <v>838</v>
      </c>
      <c r="R3" s="13" t="s">
        <v>838</v>
      </c>
      <c r="S3" s="13" t="s">
        <v>838</v>
      </c>
      <c r="T3" s="13" t="s">
        <v>838</v>
      </c>
      <c r="U3" s="13" t="s">
        <v>838</v>
      </c>
      <c r="V3" s="13" t="s">
        <v>838</v>
      </c>
      <c r="W3" s="13" t="s">
        <v>838</v>
      </c>
      <c r="X3" s="13" t="s">
        <v>838</v>
      </c>
      <c r="Y3" s="13" t="s">
        <v>838</v>
      </c>
      <c r="Z3" s="13" t="s">
        <v>838</v>
      </c>
      <c r="AA3" s="13" t="s">
        <v>838</v>
      </c>
      <c r="AB3" s="13" t="s">
        <v>838</v>
      </c>
      <c r="AC3" s="13" t="s">
        <v>839</v>
      </c>
      <c r="AD3" s="30" t="s">
        <v>840</v>
      </c>
      <c r="AE3" s="13" t="s">
        <v>841</v>
      </c>
      <c r="AF3" s="14" t="s">
        <v>18</v>
      </c>
      <c r="AG3" s="16" t="s">
        <v>842</v>
      </c>
      <c r="AH3" s="13" t="s">
        <v>843</v>
      </c>
      <c r="AI3" s="13" t="s">
        <v>843</v>
      </c>
      <c r="AJ3" s="13" t="s">
        <v>843</v>
      </c>
      <c r="AK3" s="13" t="s">
        <v>843</v>
      </c>
      <c r="AL3" s="13" t="s">
        <v>844</v>
      </c>
      <c r="AM3" s="13" t="s">
        <v>844</v>
      </c>
      <c r="AN3" s="13" t="s">
        <v>844</v>
      </c>
      <c r="AO3" s="13" t="s">
        <v>844</v>
      </c>
      <c r="AP3" s="13" t="s">
        <v>844</v>
      </c>
      <c r="AQ3" s="13" t="s">
        <v>844</v>
      </c>
      <c r="AR3" s="13" t="s">
        <v>844</v>
      </c>
      <c r="AS3" s="16" t="s">
        <v>842</v>
      </c>
      <c r="AT3" s="16" t="s">
        <v>842</v>
      </c>
      <c r="AU3" s="21" t="s">
        <v>845</v>
      </c>
      <c r="AV3" s="21" t="s">
        <v>845</v>
      </c>
      <c r="AW3" s="21" t="s">
        <v>845</v>
      </c>
      <c r="AX3" s="21" t="s">
        <v>846</v>
      </c>
      <c r="AY3" s="21" t="s">
        <v>846</v>
      </c>
      <c r="AZ3" s="21" t="s">
        <v>846</v>
      </c>
      <c r="BA3" s="21" t="s">
        <v>846</v>
      </c>
      <c r="BB3" s="21" t="s">
        <v>846</v>
      </c>
      <c r="BC3" s="21" t="s">
        <v>846</v>
      </c>
      <c r="BD3" s="21" t="s">
        <v>847</v>
      </c>
      <c r="BE3" s="21" t="s">
        <v>847</v>
      </c>
      <c r="BF3" s="16" t="s">
        <v>18</v>
      </c>
      <c r="BG3" s="21" t="s">
        <v>846</v>
      </c>
      <c r="BH3" s="21" t="s">
        <v>846</v>
      </c>
      <c r="BI3" s="21" t="s">
        <v>846</v>
      </c>
      <c r="BJ3" s="21" t="s">
        <v>846</v>
      </c>
      <c r="BK3" s="21" t="s">
        <v>846</v>
      </c>
      <c r="BL3" s="21" t="s">
        <v>846</v>
      </c>
      <c r="BM3" s="16" t="s">
        <v>842</v>
      </c>
      <c r="BN3" s="16" t="s">
        <v>848</v>
      </c>
      <c r="BO3" s="16" t="s">
        <v>848</v>
      </c>
      <c r="BP3" s="16" t="s">
        <v>848</v>
      </c>
      <c r="BQ3" s="16" t="s">
        <v>848</v>
      </c>
      <c r="BR3" s="16" t="s">
        <v>842</v>
      </c>
      <c r="BS3" s="16" t="s">
        <v>18</v>
      </c>
      <c r="BT3" s="15" t="s">
        <v>102</v>
      </c>
      <c r="BU3" s="15" t="s">
        <v>102</v>
      </c>
      <c r="BV3" s="15" t="s">
        <v>102</v>
      </c>
      <c r="BW3" s="15" t="s">
        <v>102</v>
      </c>
      <c r="BX3" s="15" t="s">
        <v>102</v>
      </c>
      <c r="BY3" s="21" t="s">
        <v>849</v>
      </c>
      <c r="BZ3" s="21" t="s">
        <v>849</v>
      </c>
      <c r="CA3" s="21" t="s">
        <v>850</v>
      </c>
      <c r="CB3" s="21" t="s">
        <v>851</v>
      </c>
      <c r="CC3" s="21" t="s">
        <v>851</v>
      </c>
      <c r="CD3" s="16" t="s">
        <v>842</v>
      </c>
      <c r="CE3" s="15" t="s">
        <v>102</v>
      </c>
      <c r="CF3" s="15" t="s">
        <v>102</v>
      </c>
      <c r="CG3" s="59" t="s">
        <v>852</v>
      </c>
      <c r="CH3" s="15" t="s">
        <v>102</v>
      </c>
      <c r="CI3" s="15" t="s">
        <v>102</v>
      </c>
      <c r="CJ3" s="149" t="s">
        <v>853</v>
      </c>
      <c r="CK3" s="21" t="s">
        <v>854</v>
      </c>
      <c r="CL3" s="21" t="s">
        <v>855</v>
      </c>
      <c r="CM3" s="21" t="s">
        <v>856</v>
      </c>
      <c r="CN3" s="21" t="s">
        <v>857</v>
      </c>
      <c r="CO3" s="213" t="s">
        <v>858</v>
      </c>
      <c r="CP3" s="213" t="s">
        <v>859</v>
      </c>
      <c r="CQ3" s="213" t="s">
        <v>860</v>
      </c>
      <c r="CR3" s="213" t="s">
        <v>861</v>
      </c>
      <c r="CS3" s="213" t="s">
        <v>862</v>
      </c>
      <c r="CT3" s="13" t="s">
        <v>863</v>
      </c>
      <c r="CU3" s="213" t="s">
        <v>864</v>
      </c>
      <c r="CV3" s="13" t="s">
        <v>865</v>
      </c>
      <c r="CW3" s="13" t="s">
        <v>865</v>
      </c>
      <c r="CX3" s="59" t="s">
        <v>866</v>
      </c>
      <c r="CY3" s="13" t="s">
        <v>865</v>
      </c>
      <c r="CZ3" s="13" t="s">
        <v>865</v>
      </c>
      <c r="DA3" s="13" t="s">
        <v>865</v>
      </c>
      <c r="DB3" s="13" t="s">
        <v>865</v>
      </c>
      <c r="DC3" s="13" t="s">
        <v>865</v>
      </c>
      <c r="DD3" s="13" t="s">
        <v>865</v>
      </c>
      <c r="DE3" s="13" t="s">
        <v>865</v>
      </c>
      <c r="DF3" s="13" t="s">
        <v>865</v>
      </c>
      <c r="DG3" s="13" t="s">
        <v>865</v>
      </c>
      <c r="DH3" s="13" t="s">
        <v>865</v>
      </c>
      <c r="DI3" s="213" t="s">
        <v>867</v>
      </c>
      <c r="DJ3" s="115" t="s">
        <v>18</v>
      </c>
      <c r="DK3" s="115" t="s">
        <v>18</v>
      </c>
      <c r="DL3" s="115" t="s">
        <v>18</v>
      </c>
      <c r="DM3" s="115" t="s">
        <v>18</v>
      </c>
      <c r="DN3" s="115" t="s">
        <v>18</v>
      </c>
      <c r="DO3" s="115" t="s">
        <v>18</v>
      </c>
      <c r="DP3" s="115" t="s">
        <v>18</v>
      </c>
      <c r="DQ3" s="115" t="s">
        <v>18</v>
      </c>
      <c r="DR3" s="96" t="s">
        <v>868</v>
      </c>
      <c r="DS3" s="96" t="s">
        <v>868</v>
      </c>
      <c r="DT3" s="13" t="s">
        <v>869</v>
      </c>
      <c r="DU3" s="13" t="s">
        <v>869</v>
      </c>
      <c r="DV3" s="213" t="s">
        <v>870</v>
      </c>
      <c r="DW3" s="13" t="s">
        <v>871</v>
      </c>
      <c r="DX3" s="154" t="s">
        <v>872</v>
      </c>
      <c r="DY3" s="13" t="s">
        <v>871</v>
      </c>
      <c r="DZ3" s="13" t="s">
        <v>871</v>
      </c>
      <c r="EA3" s="213" t="s">
        <v>873</v>
      </c>
      <c r="EB3" s="13" t="s">
        <v>871</v>
      </c>
      <c r="EC3" s="13" t="s">
        <v>871</v>
      </c>
      <c r="ED3" s="105" t="s">
        <v>874</v>
      </c>
      <c r="EE3" s="105" t="s">
        <v>874</v>
      </c>
      <c r="EF3" s="105" t="s">
        <v>874</v>
      </c>
      <c r="EG3" s="105" t="s">
        <v>874</v>
      </c>
      <c r="EH3" s="36" t="s">
        <v>875</v>
      </c>
      <c r="EI3" s="107" t="s">
        <v>875</v>
      </c>
      <c r="EJ3" s="36" t="s">
        <v>876</v>
      </c>
      <c r="EK3" s="36" t="s">
        <v>877</v>
      </c>
      <c r="EL3" s="36" t="s">
        <v>878</v>
      </c>
      <c r="EM3" s="36" t="s">
        <v>877</v>
      </c>
      <c r="EN3" s="36" t="s">
        <v>877</v>
      </c>
      <c r="EO3" s="292" t="s">
        <v>879</v>
      </c>
      <c r="EP3" s="292" t="s">
        <v>146</v>
      </c>
      <c r="EQ3" s="292" t="s">
        <v>146</v>
      </c>
      <c r="ER3" s="292" t="s">
        <v>146</v>
      </c>
      <c r="ES3" s="292" t="s">
        <v>146</v>
      </c>
      <c r="ET3" s="317" t="s">
        <v>146</v>
      </c>
      <c r="EU3" s="317" t="s">
        <v>146</v>
      </c>
      <c r="EV3" s="317" t="s">
        <v>146</v>
      </c>
      <c r="EW3" s="317" t="s">
        <v>146</v>
      </c>
      <c r="EX3" s="317" t="s">
        <v>146</v>
      </c>
      <c r="EY3" s="320" t="s">
        <v>880</v>
      </c>
      <c r="EZ3" s="320" t="s">
        <v>881</v>
      </c>
      <c r="FA3" s="320" t="s">
        <v>882</v>
      </c>
      <c r="FB3" s="250" t="s">
        <v>883</v>
      </c>
      <c r="FC3" s="250" t="s">
        <v>884</v>
      </c>
      <c r="FD3" s="250" t="s">
        <v>885</v>
      </c>
      <c r="FE3" s="250" t="s">
        <v>886</v>
      </c>
      <c r="FF3" s="291" t="s">
        <v>887</v>
      </c>
      <c r="FG3" s="154" t="s">
        <v>888</v>
      </c>
      <c r="FH3" s="320" t="s">
        <v>882</v>
      </c>
      <c r="FI3" s="296" t="s">
        <v>889</v>
      </c>
      <c r="FJ3" s="295" t="s">
        <v>890</v>
      </c>
      <c r="FK3" s="222" t="s">
        <v>891</v>
      </c>
      <c r="FL3" s="222" t="s">
        <v>891</v>
      </c>
      <c r="FM3" s="222" t="s">
        <v>891</v>
      </c>
      <c r="FN3" s="222" t="s">
        <v>891</v>
      </c>
      <c r="FO3" s="222" t="s">
        <v>891</v>
      </c>
      <c r="FP3" s="115" t="s">
        <v>892</v>
      </c>
      <c r="FQ3" s="238" t="s">
        <v>893</v>
      </c>
      <c r="FR3" s="238" t="s">
        <v>893</v>
      </c>
      <c r="FS3" s="320" t="s">
        <v>894</v>
      </c>
      <c r="FT3" s="320" t="s">
        <v>895</v>
      </c>
      <c r="FU3" s="320" t="s">
        <v>895</v>
      </c>
      <c r="FV3" s="320" t="s">
        <v>895</v>
      </c>
      <c r="FW3" s="320" t="s">
        <v>895</v>
      </c>
      <c r="FX3" s="320" t="s">
        <v>895</v>
      </c>
      <c r="FY3" s="297" t="s">
        <v>896</v>
      </c>
      <c r="FZ3" s="297" t="s">
        <v>897</v>
      </c>
      <c r="GA3" s="297" t="s">
        <v>898</v>
      </c>
      <c r="GB3" s="297" t="s">
        <v>898</v>
      </c>
      <c r="GC3" s="297" t="s">
        <v>898</v>
      </c>
      <c r="GD3" s="297" t="s">
        <v>898</v>
      </c>
      <c r="GE3" s="336" t="s">
        <v>899</v>
      </c>
      <c r="GF3" s="336" t="s">
        <v>899</v>
      </c>
      <c r="GG3" s="370" t="s">
        <v>900</v>
      </c>
      <c r="GH3" s="370" t="s">
        <v>900</v>
      </c>
      <c r="GI3" s="118" t="s">
        <v>901</v>
      </c>
      <c r="GJ3" s="297" t="s">
        <v>898</v>
      </c>
      <c r="GK3" s="297" t="s">
        <v>898</v>
      </c>
      <c r="GL3" s="297" t="s">
        <v>898</v>
      </c>
      <c r="GM3" s="369" t="s">
        <v>902</v>
      </c>
      <c r="GN3" s="350" t="s">
        <v>903</v>
      </c>
      <c r="GO3" s="350" t="s">
        <v>903</v>
      </c>
      <c r="GP3" s="350" t="s">
        <v>903</v>
      </c>
      <c r="GQ3" s="250" t="s">
        <v>904</v>
      </c>
      <c r="GR3" s="350" t="s">
        <v>903</v>
      </c>
      <c r="GS3" s="116" t="s">
        <v>905</v>
      </c>
      <c r="GT3" s="350" t="s">
        <v>903</v>
      </c>
      <c r="GU3" s="350" t="s">
        <v>903</v>
      </c>
      <c r="GV3" s="351" t="s">
        <v>906</v>
      </c>
      <c r="GW3" s="36" t="s">
        <v>907</v>
      </c>
      <c r="GX3" s="36" t="s">
        <v>908</v>
      </c>
      <c r="GY3" s="36" t="s">
        <v>907</v>
      </c>
      <c r="GZ3" s="36" t="s">
        <v>907</v>
      </c>
      <c r="HA3" s="36" t="s">
        <v>907</v>
      </c>
      <c r="HB3" s="36" t="s">
        <v>908</v>
      </c>
      <c r="HC3" s="36" t="s">
        <v>908</v>
      </c>
      <c r="HD3" s="36" t="s">
        <v>909</v>
      </c>
      <c r="HE3" s="36" t="s">
        <v>909</v>
      </c>
      <c r="HF3" s="36" t="s">
        <v>909</v>
      </c>
      <c r="HG3" s="36" t="s">
        <v>909</v>
      </c>
      <c r="HH3" s="116" t="s">
        <v>18</v>
      </c>
      <c r="HI3" s="36" t="s">
        <v>909</v>
      </c>
      <c r="HJ3" s="36" t="s">
        <v>909</v>
      </c>
      <c r="HK3" s="36" t="s">
        <v>910</v>
      </c>
      <c r="HL3" s="36" t="s">
        <v>909</v>
      </c>
      <c r="HM3" s="36" t="s">
        <v>909</v>
      </c>
      <c r="HN3" s="36" t="s">
        <v>909</v>
      </c>
      <c r="HO3" s="36" t="s">
        <v>909</v>
      </c>
      <c r="HP3" s="297" t="s">
        <v>911</v>
      </c>
      <c r="HQ3" s="36" t="s">
        <v>912</v>
      </c>
      <c r="HR3" s="297" t="s">
        <v>911</v>
      </c>
      <c r="HS3" s="297" t="s">
        <v>913</v>
      </c>
      <c r="HT3" s="297" t="s">
        <v>913</v>
      </c>
      <c r="HU3" s="297" t="s">
        <v>913</v>
      </c>
      <c r="HV3" s="297" t="s">
        <v>913</v>
      </c>
      <c r="HW3" s="297" t="s">
        <v>913</v>
      </c>
      <c r="HX3" s="36" t="s">
        <v>914</v>
      </c>
      <c r="HY3" s="36" t="s">
        <v>914</v>
      </c>
      <c r="HZ3" s="36" t="s">
        <v>915</v>
      </c>
      <c r="IA3" s="36" t="s">
        <v>915</v>
      </c>
      <c r="IB3" s="36" t="s">
        <v>915</v>
      </c>
      <c r="IC3" s="36" t="s">
        <v>915</v>
      </c>
      <c r="ID3" s="36" t="s">
        <v>915</v>
      </c>
      <c r="IE3" s="36" t="s">
        <v>915</v>
      </c>
      <c r="IF3" s="36" t="s">
        <v>915</v>
      </c>
      <c r="IG3" s="36" t="s">
        <v>915</v>
      </c>
      <c r="IH3" s="36" t="s">
        <v>915</v>
      </c>
      <c r="II3" s="124" t="s">
        <v>916</v>
      </c>
      <c r="IJ3" s="124" t="s">
        <v>916</v>
      </c>
      <c r="IK3" s="711" t="s">
        <v>917</v>
      </c>
      <c r="IL3" s="711" t="s">
        <v>793</v>
      </c>
      <c r="IM3" s="116" t="s">
        <v>918</v>
      </c>
      <c r="IN3" s="710" t="s">
        <v>919</v>
      </c>
      <c r="IO3" s="297" t="s">
        <v>920</v>
      </c>
      <c r="IP3" s="297" t="s">
        <v>920</v>
      </c>
      <c r="IQ3" s="297" t="s">
        <v>921</v>
      </c>
      <c r="IR3" s="297" t="s">
        <v>922</v>
      </c>
      <c r="IS3" s="297" t="s">
        <v>923</v>
      </c>
      <c r="IT3" s="297"/>
      <c r="IU3" s="651" t="s">
        <v>193</v>
      </c>
      <c r="IV3" s="684" t="s">
        <v>924</v>
      </c>
      <c r="IW3" s="651" t="s">
        <v>193</v>
      </c>
      <c r="IX3" s="297" t="s">
        <v>925</v>
      </c>
      <c r="IY3" s="36" t="s">
        <v>926</v>
      </c>
      <c r="IZ3" s="36" t="s">
        <v>926</v>
      </c>
      <c r="JA3" s="36" t="s">
        <v>926</v>
      </c>
      <c r="JB3" s="36" t="s">
        <v>926</v>
      </c>
      <c r="JC3" s="36" t="s">
        <v>926</v>
      </c>
      <c r="JE3" s="36"/>
      <c r="JF3" s="36"/>
      <c r="JG3" s="36" t="s">
        <v>927</v>
      </c>
      <c r="JH3" s="36" t="s">
        <v>927</v>
      </c>
      <c r="JI3" s="36" t="s">
        <v>927</v>
      </c>
      <c r="JJ3" s="95" t="s">
        <v>928</v>
      </c>
      <c r="JK3" s="95" t="s">
        <v>928</v>
      </c>
      <c r="JL3" s="116" t="s">
        <v>929</v>
      </c>
      <c r="JM3" s="116" t="s">
        <v>929</v>
      </c>
      <c r="JN3" s="116" t="s">
        <v>929</v>
      </c>
      <c r="JO3" s="116" t="s">
        <v>929</v>
      </c>
      <c r="JP3" s="116" t="s">
        <v>929</v>
      </c>
      <c r="JQ3" s="95" t="s">
        <v>928</v>
      </c>
      <c r="JR3" s="95" t="s">
        <v>928</v>
      </c>
      <c r="JS3" s="95" t="s">
        <v>928</v>
      </c>
      <c r="JT3" s="95" t="s">
        <v>928</v>
      </c>
      <c r="JU3" s="95" t="s">
        <v>928</v>
      </c>
      <c r="JV3" s="95" t="s">
        <v>928</v>
      </c>
      <c r="JW3" s="95" t="s">
        <v>928</v>
      </c>
      <c r="JX3" s="95" t="s">
        <v>928</v>
      </c>
      <c r="JY3" s="297" t="s">
        <v>922</v>
      </c>
      <c r="JZ3" s="297" t="s">
        <v>922</v>
      </c>
      <c r="KA3" s="297" t="s">
        <v>922</v>
      </c>
      <c r="KB3" s="297" t="s">
        <v>922</v>
      </c>
      <c r="KC3" s="297" t="s">
        <v>922</v>
      </c>
      <c r="KD3" s="297" t="s">
        <v>922</v>
      </c>
      <c r="KE3" s="297" t="s">
        <v>922</v>
      </c>
      <c r="KF3" s="297" t="s">
        <v>922</v>
      </c>
      <c r="KG3" s="297" t="s">
        <v>922</v>
      </c>
      <c r="KH3" s="330" t="s">
        <v>930</v>
      </c>
      <c r="KI3" s="36" t="s">
        <v>931</v>
      </c>
      <c r="KJ3" s="36" t="s">
        <v>931</v>
      </c>
      <c r="KK3" s="392" t="s">
        <v>932</v>
      </c>
      <c r="KL3" s="36"/>
      <c r="KM3" s="36"/>
      <c r="KN3" s="36"/>
      <c r="KO3" s="36"/>
      <c r="KP3" s="36"/>
      <c r="KQ3" s="36"/>
      <c r="KR3" s="36"/>
      <c r="KS3" s="330" t="s">
        <v>933</v>
      </c>
      <c r="KT3" s="330" t="s">
        <v>933</v>
      </c>
      <c r="KU3" s="36"/>
      <c r="KV3" s="148" t="s">
        <v>934</v>
      </c>
      <c r="KW3" s="148" t="s">
        <v>934</v>
      </c>
      <c r="KX3" s="148" t="s">
        <v>935</v>
      </c>
      <c r="KY3" s="148" t="s">
        <v>935</v>
      </c>
      <c r="KZ3" s="148" t="s">
        <v>935</v>
      </c>
      <c r="LA3" s="148" t="s">
        <v>935</v>
      </c>
      <c r="LB3" s="36"/>
      <c r="LC3" s="36"/>
      <c r="LD3" s="36"/>
      <c r="LE3" s="36"/>
      <c r="LF3" s="36"/>
      <c r="LG3" s="36"/>
      <c r="LH3" s="36"/>
      <c r="LI3" s="36"/>
      <c r="LJ3" s="330" t="s">
        <v>18</v>
      </c>
      <c r="LK3" s="330" t="s">
        <v>18</v>
      </c>
      <c r="LL3" s="330" t="s">
        <v>18</v>
      </c>
      <c r="LM3" s="330" t="s">
        <v>18</v>
      </c>
      <c r="LN3" s="330" t="s">
        <v>936</v>
      </c>
      <c r="LO3" s="330" t="s">
        <v>848</v>
      </c>
      <c r="LP3" s="330" t="s">
        <v>848</v>
      </c>
      <c r="LQ3" s="330" t="s">
        <v>848</v>
      </c>
      <c r="LR3" s="330" t="s">
        <v>848</v>
      </c>
      <c r="LS3" s="330" t="s">
        <v>937</v>
      </c>
    </row>
    <row r="4" spans="1:364" ht="122.25" customHeight="1">
      <c r="A4" s="11" t="s">
        <v>19</v>
      </c>
      <c r="B4" s="13" t="s">
        <v>938</v>
      </c>
      <c r="C4" s="13" t="s">
        <v>938</v>
      </c>
      <c r="D4" s="22" t="s">
        <v>939</v>
      </c>
      <c r="E4" s="22" t="s">
        <v>939</v>
      </c>
      <c r="F4" s="22" t="s">
        <v>939</v>
      </c>
      <c r="G4" s="23" t="s">
        <v>940</v>
      </c>
      <c r="H4" s="23" t="s">
        <v>941</v>
      </c>
      <c r="I4" s="23" t="s">
        <v>940</v>
      </c>
      <c r="J4" s="23" t="s">
        <v>940</v>
      </c>
      <c r="K4" s="23" t="s">
        <v>942</v>
      </c>
      <c r="L4" s="24" t="s">
        <v>943</v>
      </c>
      <c r="M4" s="24" t="s">
        <v>943</v>
      </c>
      <c r="N4" s="24" t="s">
        <v>943</v>
      </c>
      <c r="O4" s="24" t="s">
        <v>943</v>
      </c>
      <c r="P4" s="12" t="s">
        <v>852</v>
      </c>
      <c r="Q4" s="13" t="s">
        <v>838</v>
      </c>
      <c r="R4" s="13" t="s">
        <v>838</v>
      </c>
      <c r="S4" s="13" t="s">
        <v>838</v>
      </c>
      <c r="T4" s="13" t="s">
        <v>838</v>
      </c>
      <c r="U4" s="13" t="s">
        <v>838</v>
      </c>
      <c r="V4" s="13" t="s">
        <v>838</v>
      </c>
      <c r="W4" s="13" t="s">
        <v>838</v>
      </c>
      <c r="X4" s="13" t="s">
        <v>838</v>
      </c>
      <c r="Y4" s="13" t="s">
        <v>838</v>
      </c>
      <c r="Z4" s="13" t="s">
        <v>838</v>
      </c>
      <c r="AA4" s="13" t="s">
        <v>838</v>
      </c>
      <c r="AB4" s="14" t="s">
        <v>18</v>
      </c>
      <c r="AC4" s="14" t="s">
        <v>18</v>
      </c>
      <c r="AD4" s="14" t="s">
        <v>18</v>
      </c>
      <c r="AE4" s="14" t="s">
        <v>18</v>
      </c>
      <c r="AF4" s="13" t="s">
        <v>838</v>
      </c>
      <c r="AG4" s="16" t="s">
        <v>842</v>
      </c>
      <c r="AH4" s="13" t="s">
        <v>838</v>
      </c>
      <c r="AI4" s="13" t="s">
        <v>838</v>
      </c>
      <c r="AJ4" s="13" t="s">
        <v>838</v>
      </c>
      <c r="AK4" s="13" t="s">
        <v>944</v>
      </c>
      <c r="AL4" s="13" t="s">
        <v>944</v>
      </c>
      <c r="AM4" s="13" t="s">
        <v>20</v>
      </c>
      <c r="AN4" s="13" t="s">
        <v>20</v>
      </c>
      <c r="AO4" s="13" t="s">
        <v>20</v>
      </c>
      <c r="AP4" s="16" t="s">
        <v>18</v>
      </c>
      <c r="AQ4" s="16" t="s">
        <v>18</v>
      </c>
      <c r="AR4" s="16" t="s">
        <v>18</v>
      </c>
      <c r="AS4" s="16" t="s">
        <v>842</v>
      </c>
      <c r="AT4" s="16" t="s">
        <v>842</v>
      </c>
      <c r="AU4" s="13" t="s">
        <v>20</v>
      </c>
      <c r="AV4" s="13" t="s">
        <v>20</v>
      </c>
      <c r="AW4" s="13" t="s">
        <v>20</v>
      </c>
      <c r="AX4" s="13" t="s">
        <v>20</v>
      </c>
      <c r="AY4" s="13" t="s">
        <v>20</v>
      </c>
      <c r="AZ4" s="21" t="s">
        <v>945</v>
      </c>
      <c r="BA4" s="21" t="s">
        <v>945</v>
      </c>
      <c r="BB4" s="88" t="s">
        <v>946</v>
      </c>
      <c r="BC4" s="88" t="s">
        <v>947</v>
      </c>
      <c r="BD4" s="21" t="s">
        <v>945</v>
      </c>
      <c r="BE4" s="21" t="s">
        <v>847</v>
      </c>
      <c r="BF4" s="21" t="s">
        <v>847</v>
      </c>
      <c r="BG4" s="104" t="s">
        <v>948</v>
      </c>
      <c r="BH4" s="104" t="s">
        <v>948</v>
      </c>
      <c r="BI4" s="104" t="s">
        <v>948</v>
      </c>
      <c r="BJ4" s="104" t="s">
        <v>948</v>
      </c>
      <c r="BK4" s="104" t="s">
        <v>948</v>
      </c>
      <c r="BL4" s="16" t="s">
        <v>18</v>
      </c>
      <c r="BM4" s="16" t="s">
        <v>842</v>
      </c>
      <c r="BN4" s="16" t="s">
        <v>848</v>
      </c>
      <c r="BO4" s="16" t="s">
        <v>848</v>
      </c>
      <c r="BP4" s="16" t="s">
        <v>848</v>
      </c>
      <c r="BQ4" s="16" t="s">
        <v>848</v>
      </c>
      <c r="BR4" s="16" t="s">
        <v>842</v>
      </c>
      <c r="BS4" s="104" t="s">
        <v>948</v>
      </c>
      <c r="BT4" s="21" t="s">
        <v>949</v>
      </c>
      <c r="BU4" s="21" t="s">
        <v>949</v>
      </c>
      <c r="BV4" s="21" t="s">
        <v>949</v>
      </c>
      <c r="BW4" s="21" t="s">
        <v>949</v>
      </c>
      <c r="BX4" s="15" t="s">
        <v>102</v>
      </c>
      <c r="BY4" s="15" t="s">
        <v>102</v>
      </c>
      <c r="BZ4" s="15" t="s">
        <v>102</v>
      </c>
      <c r="CA4" s="15" t="s">
        <v>102</v>
      </c>
      <c r="CB4" s="12" t="s">
        <v>950</v>
      </c>
      <c r="CC4" s="12" t="s">
        <v>950</v>
      </c>
      <c r="CD4" s="16" t="s">
        <v>842</v>
      </c>
      <c r="CE4" s="59" t="s">
        <v>18</v>
      </c>
      <c r="CF4" s="59" t="s">
        <v>18</v>
      </c>
      <c r="CG4" s="59" t="s">
        <v>18</v>
      </c>
      <c r="CH4" s="59" t="s">
        <v>18</v>
      </c>
      <c r="CI4" s="31" t="s">
        <v>951</v>
      </c>
      <c r="CJ4" s="31" t="s">
        <v>951</v>
      </c>
      <c r="CK4" s="31" t="s">
        <v>951</v>
      </c>
      <c r="CL4" s="31" t="s">
        <v>952</v>
      </c>
      <c r="CM4" s="32" t="s">
        <v>953</v>
      </c>
      <c r="CN4" s="32" t="s">
        <v>953</v>
      </c>
      <c r="CO4" s="163" t="s">
        <v>953</v>
      </c>
      <c r="CP4" s="95" t="s">
        <v>252</v>
      </c>
      <c r="CQ4" s="95" t="s">
        <v>252</v>
      </c>
      <c r="CR4" s="95" t="s">
        <v>252</v>
      </c>
      <c r="CS4" s="95" t="s">
        <v>252</v>
      </c>
      <c r="CT4" s="104" t="s">
        <v>954</v>
      </c>
      <c r="CU4" s="13" t="s">
        <v>955</v>
      </c>
      <c r="CV4" s="32" t="s">
        <v>956</v>
      </c>
      <c r="CW4" s="32" t="s">
        <v>957</v>
      </c>
      <c r="CX4" s="59" t="s">
        <v>866</v>
      </c>
      <c r="CY4" s="32" t="s">
        <v>957</v>
      </c>
      <c r="CZ4" s="153" t="s">
        <v>958</v>
      </c>
      <c r="DA4" s="32" t="s">
        <v>957</v>
      </c>
      <c r="DB4" s="32" t="s">
        <v>957</v>
      </c>
      <c r="DC4" s="32" t="s">
        <v>957</v>
      </c>
      <c r="DD4" s="32" t="s">
        <v>957</v>
      </c>
      <c r="DE4" s="32" t="s">
        <v>957</v>
      </c>
      <c r="DF4" s="32" t="s">
        <v>957</v>
      </c>
      <c r="DG4" s="32" t="s">
        <v>957</v>
      </c>
      <c r="DH4" s="32" t="s">
        <v>957</v>
      </c>
      <c r="DI4" s="32" t="s">
        <v>957</v>
      </c>
      <c r="DJ4" s="32" t="s">
        <v>957</v>
      </c>
      <c r="DK4" s="32" t="s">
        <v>957</v>
      </c>
      <c r="DL4" s="32" t="s">
        <v>959</v>
      </c>
      <c r="DM4" s="115" t="s">
        <v>18</v>
      </c>
      <c r="DN4" s="21" t="s">
        <v>960</v>
      </c>
      <c r="DO4" s="21" t="s">
        <v>960</v>
      </c>
      <c r="DP4" s="13" t="s">
        <v>869</v>
      </c>
      <c r="DQ4" s="104" t="s">
        <v>961</v>
      </c>
      <c r="DR4" s="104" t="s">
        <v>961</v>
      </c>
      <c r="DS4" s="104" t="s">
        <v>961</v>
      </c>
      <c r="DT4" s="104" t="s">
        <v>961</v>
      </c>
      <c r="DU4" s="96" t="s">
        <v>868</v>
      </c>
      <c r="DV4" s="96" t="s">
        <v>868</v>
      </c>
      <c r="DW4" s="104" t="s">
        <v>962</v>
      </c>
      <c r="DX4" s="213" t="s">
        <v>963</v>
      </c>
      <c r="DY4" s="213" t="s">
        <v>964</v>
      </c>
      <c r="DZ4" s="213" t="s">
        <v>965</v>
      </c>
      <c r="EA4" s="115" t="s">
        <v>18</v>
      </c>
      <c r="EB4" s="115" t="s">
        <v>18</v>
      </c>
      <c r="EC4" s="213" t="s">
        <v>966</v>
      </c>
      <c r="ED4" s="21" t="s">
        <v>967</v>
      </c>
      <c r="EE4" s="21" t="s">
        <v>967</v>
      </c>
      <c r="EF4" s="21" t="s">
        <v>967</v>
      </c>
      <c r="EG4" s="36" t="s">
        <v>968</v>
      </c>
      <c r="EH4" s="36" t="s">
        <v>875</v>
      </c>
      <c r="EI4" s="315" t="s">
        <v>143</v>
      </c>
      <c r="EJ4" s="315" t="s">
        <v>143</v>
      </c>
      <c r="EK4" s="213" t="s">
        <v>969</v>
      </c>
      <c r="EL4" s="213" t="s">
        <v>970</v>
      </c>
      <c r="EM4" s="213" t="s">
        <v>971</v>
      </c>
      <c r="EN4" s="36" t="s">
        <v>972</v>
      </c>
      <c r="EO4" s="36" t="s">
        <v>877</v>
      </c>
      <c r="EP4" s="36" t="s">
        <v>877</v>
      </c>
      <c r="EQ4" s="36" t="s">
        <v>877</v>
      </c>
      <c r="ER4" s="36" t="s">
        <v>877</v>
      </c>
      <c r="ES4" s="36" t="s">
        <v>877</v>
      </c>
      <c r="ET4" s="36" t="s">
        <v>877</v>
      </c>
      <c r="EU4" s="213" t="s">
        <v>973</v>
      </c>
      <c r="EV4" s="36" t="s">
        <v>877</v>
      </c>
      <c r="EW4" s="299" t="s">
        <v>974</v>
      </c>
      <c r="EX4" s="299" t="s">
        <v>975</v>
      </c>
      <c r="EY4" s="154" t="s">
        <v>976</v>
      </c>
      <c r="EZ4" s="299" t="s">
        <v>977</v>
      </c>
      <c r="FA4" s="299" t="s">
        <v>978</v>
      </c>
      <c r="FB4" s="115" t="s">
        <v>979</v>
      </c>
      <c r="FC4" s="115" t="s">
        <v>979</v>
      </c>
      <c r="FD4" s="115" t="s">
        <v>979</v>
      </c>
      <c r="FE4" s="115" t="s">
        <v>979</v>
      </c>
      <c r="FF4" s="115" t="s">
        <v>979</v>
      </c>
      <c r="FG4" s="115" t="s">
        <v>979</v>
      </c>
      <c r="FH4" s="115" t="s">
        <v>979</v>
      </c>
      <c r="FI4" s="298" t="s">
        <v>979</v>
      </c>
      <c r="FJ4" s="299" t="s">
        <v>980</v>
      </c>
      <c r="FK4" s="223" t="s">
        <v>891</v>
      </c>
      <c r="FL4" s="299" t="s">
        <v>981</v>
      </c>
      <c r="FM4" s="223" t="s">
        <v>982</v>
      </c>
      <c r="FN4" s="115" t="s">
        <v>983</v>
      </c>
      <c r="FO4" s="115" t="s">
        <v>983</v>
      </c>
      <c r="FP4" s="115" t="s">
        <v>892</v>
      </c>
      <c r="FQ4" s="299" t="s">
        <v>984</v>
      </c>
      <c r="FR4" s="238" t="s">
        <v>985</v>
      </c>
      <c r="FS4" s="238" t="s">
        <v>986</v>
      </c>
      <c r="FT4" s="238" t="s">
        <v>987</v>
      </c>
      <c r="FU4" s="238" t="s">
        <v>987</v>
      </c>
      <c r="FV4" s="238" t="s">
        <v>987</v>
      </c>
      <c r="FW4" s="238" t="s">
        <v>987</v>
      </c>
      <c r="FX4" s="238" t="s">
        <v>987</v>
      </c>
      <c r="FY4" s="238" t="s">
        <v>987</v>
      </c>
      <c r="FZ4" s="238" t="s">
        <v>988</v>
      </c>
      <c r="GA4" s="238" t="s">
        <v>988</v>
      </c>
      <c r="GB4" s="238" t="s">
        <v>988</v>
      </c>
      <c r="GC4" s="238" t="s">
        <v>988</v>
      </c>
      <c r="GD4" s="238" t="s">
        <v>988</v>
      </c>
      <c r="GE4" s="336" t="s">
        <v>899</v>
      </c>
      <c r="GF4" s="336" t="s">
        <v>899</v>
      </c>
      <c r="GG4" s="238" t="s">
        <v>989</v>
      </c>
      <c r="GH4" s="238" t="s">
        <v>990</v>
      </c>
      <c r="GI4" s="370" t="s">
        <v>901</v>
      </c>
      <c r="GJ4" s="238" t="s">
        <v>990</v>
      </c>
      <c r="GK4" s="238" t="s">
        <v>990</v>
      </c>
      <c r="GL4" s="238" t="s">
        <v>990</v>
      </c>
      <c r="GM4" s="351" t="s">
        <v>309</v>
      </c>
      <c r="GN4" s="116" t="s">
        <v>18</v>
      </c>
      <c r="GO4" s="238" t="s">
        <v>990</v>
      </c>
      <c r="GP4" s="238" t="s">
        <v>990</v>
      </c>
      <c r="GQ4" s="36" t="s">
        <v>802</v>
      </c>
      <c r="GR4" s="36" t="s">
        <v>991</v>
      </c>
      <c r="GS4" s="116" t="s">
        <v>905</v>
      </c>
      <c r="GT4" s="36" t="s">
        <v>907</v>
      </c>
      <c r="GU4" s="36" t="s">
        <v>907</v>
      </c>
      <c r="GV4" s="36" t="s">
        <v>907</v>
      </c>
      <c r="GW4" s="36" t="s">
        <v>909</v>
      </c>
      <c r="GX4" s="36" t="s">
        <v>992</v>
      </c>
      <c r="GY4" s="350" t="s">
        <v>993</v>
      </c>
      <c r="GZ4" s="350" t="s">
        <v>993</v>
      </c>
      <c r="HA4" s="350" t="s">
        <v>993</v>
      </c>
      <c r="HB4" s="36" t="s">
        <v>994</v>
      </c>
      <c r="HC4" s="221" t="s">
        <v>995</v>
      </c>
      <c r="HD4" s="221" t="s">
        <v>995</v>
      </c>
      <c r="HE4" s="221" t="s">
        <v>996</v>
      </c>
      <c r="HF4" s="36" t="s">
        <v>994</v>
      </c>
      <c r="HG4" s="36" t="s">
        <v>994</v>
      </c>
      <c r="HH4" s="36" t="s">
        <v>997</v>
      </c>
      <c r="HI4" s="165" t="s">
        <v>998</v>
      </c>
      <c r="HJ4" s="273" t="s">
        <v>998</v>
      </c>
      <c r="HK4" s="165" t="s">
        <v>998</v>
      </c>
      <c r="HL4" s="165" t="s">
        <v>998</v>
      </c>
      <c r="HM4" s="36" t="s">
        <v>999</v>
      </c>
      <c r="HN4" s="36" t="s">
        <v>909</v>
      </c>
      <c r="HO4" s="36" t="s">
        <v>909</v>
      </c>
      <c r="HP4" s="36" t="s">
        <v>909</v>
      </c>
      <c r="HQ4" s="652" t="s">
        <v>1000</v>
      </c>
      <c r="HR4" s="116" t="s">
        <v>18</v>
      </c>
      <c r="HS4" s="36" t="s">
        <v>1001</v>
      </c>
      <c r="HT4" s="392" t="s">
        <v>1002</v>
      </c>
      <c r="HU4" s="36" t="s">
        <v>1001</v>
      </c>
      <c r="HV4" s="36" t="s">
        <v>1001</v>
      </c>
      <c r="HW4" s="297" t="s">
        <v>1003</v>
      </c>
      <c r="HX4" s="36" t="s">
        <v>914</v>
      </c>
      <c r="HY4" s="36" t="s">
        <v>914</v>
      </c>
      <c r="HZ4" s="36" t="s">
        <v>915</v>
      </c>
      <c r="IA4" s="36" t="s">
        <v>915</v>
      </c>
      <c r="IB4" s="36" t="s">
        <v>915</v>
      </c>
      <c r="IC4" s="36" t="s">
        <v>915</v>
      </c>
      <c r="ID4" s="36" t="s">
        <v>915</v>
      </c>
      <c r="IE4" s="36" t="s">
        <v>915</v>
      </c>
      <c r="IF4" s="116" t="s">
        <v>18</v>
      </c>
      <c r="IG4" s="684" t="s">
        <v>18</v>
      </c>
      <c r="IH4" s="36" t="s">
        <v>915</v>
      </c>
      <c r="II4" s="36" t="s">
        <v>915</v>
      </c>
      <c r="IJ4" s="36" t="s">
        <v>915</v>
      </c>
      <c r="IK4" s="36" t="s">
        <v>915</v>
      </c>
      <c r="IL4" s="36" t="s">
        <v>915</v>
      </c>
      <c r="IM4" s="684" t="s">
        <v>918</v>
      </c>
      <c r="IN4" s="36" t="s">
        <v>1004</v>
      </c>
      <c r="IO4" s="36" t="s">
        <v>1005</v>
      </c>
      <c r="IP4" s="36" t="s">
        <v>1006</v>
      </c>
      <c r="IQ4" s="297" t="s">
        <v>1007</v>
      </c>
      <c r="IR4" s="297" t="s">
        <v>1007</v>
      </c>
      <c r="IS4" s="297" t="s">
        <v>1008</v>
      </c>
      <c r="IT4" s="297" t="s">
        <v>1008</v>
      </c>
      <c r="IU4" s="684" t="s">
        <v>924</v>
      </c>
      <c r="IV4" s="684" t="s">
        <v>852</v>
      </c>
      <c r="IW4" s="297" t="s">
        <v>1009</v>
      </c>
      <c r="IX4" s="297" t="s">
        <v>1010</v>
      </c>
      <c r="IY4" s="36" t="s">
        <v>1011</v>
      </c>
      <c r="IZ4" s="36" t="s">
        <v>926</v>
      </c>
      <c r="JA4" s="36" t="s">
        <v>926</v>
      </c>
      <c r="JB4" s="36" t="s">
        <v>926</v>
      </c>
      <c r="JC4" s="165" t="s">
        <v>1012</v>
      </c>
      <c r="JD4" s="165" t="s">
        <v>1012</v>
      </c>
      <c r="JE4" s="165" t="s">
        <v>1012</v>
      </c>
      <c r="JF4" s="165" t="s">
        <v>68</v>
      </c>
      <c r="JG4" s="651" t="s">
        <v>193</v>
      </c>
      <c r="JH4" s="392" t="s">
        <v>1013</v>
      </c>
      <c r="JI4" s="36" t="s">
        <v>927</v>
      </c>
      <c r="JJ4" s="36" t="s">
        <v>927</v>
      </c>
      <c r="JK4" s="95" t="s">
        <v>928</v>
      </c>
      <c r="JL4" s="95" t="s">
        <v>928</v>
      </c>
      <c r="JM4" s="95" t="s">
        <v>928</v>
      </c>
      <c r="JN4" s="95" t="s">
        <v>928</v>
      </c>
      <c r="JO4" s="95" t="s">
        <v>928</v>
      </c>
      <c r="JP4" s="95" t="s">
        <v>928</v>
      </c>
      <c r="JQ4" s="95" t="s">
        <v>928</v>
      </c>
      <c r="JR4" s="95" t="s">
        <v>928</v>
      </c>
      <c r="JS4" s="95" t="s">
        <v>928</v>
      </c>
      <c r="JT4" s="95" t="s">
        <v>928</v>
      </c>
      <c r="JU4" s="95" t="s">
        <v>928</v>
      </c>
      <c r="JV4" s="165" t="s">
        <v>943</v>
      </c>
      <c r="JW4" s="165" t="s">
        <v>943</v>
      </c>
      <c r="JX4" s="165" t="s">
        <v>943</v>
      </c>
      <c r="JY4" s="297" t="s">
        <v>1003</v>
      </c>
      <c r="JZ4" s="297" t="s">
        <v>1003</v>
      </c>
      <c r="KA4" s="297" t="s">
        <v>1014</v>
      </c>
      <c r="KB4" s="297" t="s">
        <v>1014</v>
      </c>
      <c r="KC4" s="297" t="s">
        <v>1014</v>
      </c>
      <c r="KD4" s="297" t="s">
        <v>1014</v>
      </c>
      <c r="KE4" s="297" t="s">
        <v>1014</v>
      </c>
      <c r="KF4" s="297" t="s">
        <v>1014</v>
      </c>
      <c r="KG4" s="297" t="s">
        <v>1014</v>
      </c>
      <c r="KH4" s="330" t="s">
        <v>930</v>
      </c>
      <c r="KI4" s="297" t="s">
        <v>1014</v>
      </c>
      <c r="KJ4" s="297" t="s">
        <v>1014</v>
      </c>
      <c r="KK4" s="297" t="s">
        <v>1014</v>
      </c>
      <c r="KL4" s="702" t="s">
        <v>1015</v>
      </c>
      <c r="KM4" s="297" t="s">
        <v>1015</v>
      </c>
      <c r="KN4" s="297"/>
      <c r="KO4" s="297"/>
      <c r="KP4" s="297"/>
      <c r="KQ4" s="297"/>
      <c r="KR4" s="297"/>
      <c r="KS4" s="330" t="s">
        <v>933</v>
      </c>
      <c r="KT4" s="330" t="s">
        <v>933</v>
      </c>
      <c r="KU4" s="297"/>
      <c r="KV4" s="297"/>
      <c r="KW4" s="297"/>
      <c r="KX4" s="297"/>
      <c r="KY4" s="297"/>
      <c r="KZ4" s="297"/>
      <c r="LA4" s="297"/>
      <c r="LB4" s="221" t="s">
        <v>1016</v>
      </c>
      <c r="LC4" s="297"/>
      <c r="LD4" s="297"/>
      <c r="LE4" s="297"/>
      <c r="LF4" s="297"/>
      <c r="LG4" s="297"/>
      <c r="LH4" s="297"/>
      <c r="LI4" s="297"/>
      <c r="LJ4" s="297"/>
      <c r="LK4" s="297"/>
      <c r="LL4" s="297"/>
      <c r="LM4" s="297"/>
      <c r="LN4" s="330" t="s">
        <v>936</v>
      </c>
      <c r="LO4" s="330" t="s">
        <v>848</v>
      </c>
      <c r="LP4" s="330" t="s">
        <v>848</v>
      </c>
      <c r="LQ4" s="330" t="s">
        <v>848</v>
      </c>
      <c r="LR4" s="330" t="s">
        <v>848</v>
      </c>
      <c r="LS4" s="330" t="s">
        <v>937</v>
      </c>
    </row>
    <row r="5" spans="1:364" ht="116.25" customHeight="1">
      <c r="A5" s="18" t="s">
        <v>21</v>
      </c>
      <c r="B5" s="13" t="s">
        <v>1017</v>
      </c>
      <c r="C5" s="13" t="s">
        <v>1017</v>
      </c>
      <c r="D5" s="13" t="s">
        <v>837</v>
      </c>
      <c r="E5" s="13" t="s">
        <v>837</v>
      </c>
      <c r="F5" s="13" t="s">
        <v>837</v>
      </c>
      <c r="G5" s="12" t="s">
        <v>18</v>
      </c>
      <c r="H5" s="12" t="s">
        <v>18</v>
      </c>
      <c r="I5" s="12" t="s">
        <v>18</v>
      </c>
      <c r="J5" s="12" t="s">
        <v>18</v>
      </c>
      <c r="K5" s="12" t="s">
        <v>18</v>
      </c>
      <c r="L5" s="13" t="s">
        <v>838</v>
      </c>
      <c r="M5" s="13" t="s">
        <v>838</v>
      </c>
      <c r="N5" s="13" t="s">
        <v>838</v>
      </c>
      <c r="O5" s="13" t="s">
        <v>838</v>
      </c>
      <c r="P5" s="13" t="s">
        <v>838</v>
      </c>
      <c r="Q5" s="13" t="s">
        <v>838</v>
      </c>
      <c r="R5" s="13" t="s">
        <v>838</v>
      </c>
      <c r="S5" s="13" t="s">
        <v>838</v>
      </c>
      <c r="T5" s="13" t="s">
        <v>838</v>
      </c>
      <c r="U5" s="13" t="s">
        <v>838</v>
      </c>
      <c r="V5" s="13" t="s">
        <v>838</v>
      </c>
      <c r="W5" s="13" t="s">
        <v>838</v>
      </c>
      <c r="X5" s="13" t="s">
        <v>838</v>
      </c>
      <c r="Y5" s="13" t="s">
        <v>1018</v>
      </c>
      <c r="Z5" s="13" t="s">
        <v>838</v>
      </c>
      <c r="AA5" s="13" t="s">
        <v>838</v>
      </c>
      <c r="AB5" s="13" t="s">
        <v>838</v>
      </c>
      <c r="AC5" s="13" t="s">
        <v>838</v>
      </c>
      <c r="AD5" s="13" t="s">
        <v>1017</v>
      </c>
      <c r="AE5" s="13" t="s">
        <v>1017</v>
      </c>
      <c r="AF5" s="14" t="s">
        <v>18</v>
      </c>
      <c r="AG5" s="16" t="s">
        <v>842</v>
      </c>
      <c r="AH5" s="13" t="s">
        <v>1017</v>
      </c>
      <c r="AI5" s="13" t="s">
        <v>1017</v>
      </c>
      <c r="AJ5" s="13" t="s">
        <v>1017</v>
      </c>
      <c r="AK5" s="13" t="s">
        <v>1017</v>
      </c>
      <c r="AL5" s="13" t="s">
        <v>1017</v>
      </c>
      <c r="AM5" s="13" t="s">
        <v>1019</v>
      </c>
      <c r="AN5" s="13" t="s">
        <v>1017</v>
      </c>
      <c r="AO5" s="13" t="s">
        <v>1017</v>
      </c>
      <c r="AP5" s="13" t="s">
        <v>1017</v>
      </c>
      <c r="AQ5" s="13" t="s">
        <v>1017</v>
      </c>
      <c r="AR5" s="13" t="s">
        <v>1017</v>
      </c>
      <c r="AS5" s="16" t="s">
        <v>842</v>
      </c>
      <c r="AT5" s="16" t="s">
        <v>842</v>
      </c>
      <c r="AU5" s="13" t="s">
        <v>1017</v>
      </c>
      <c r="AV5" s="13" t="s">
        <v>1017</v>
      </c>
      <c r="AW5" s="13" t="s">
        <v>1017</v>
      </c>
      <c r="AX5" s="13" t="s">
        <v>1017</v>
      </c>
      <c r="AY5" s="13" t="s">
        <v>1017</v>
      </c>
      <c r="AZ5" s="21" t="s">
        <v>945</v>
      </c>
      <c r="BA5" s="21" t="s">
        <v>945</v>
      </c>
      <c r="BB5" s="20" t="s">
        <v>18</v>
      </c>
      <c r="BC5" s="88" t="s">
        <v>1020</v>
      </c>
      <c r="BD5" s="21" t="s">
        <v>945</v>
      </c>
      <c r="BE5" s="21" t="s">
        <v>847</v>
      </c>
      <c r="BF5" s="21" t="s">
        <v>847</v>
      </c>
      <c r="BG5" s="104" t="s">
        <v>948</v>
      </c>
      <c r="BH5" s="104" t="s">
        <v>948</v>
      </c>
      <c r="BI5" s="104" t="s">
        <v>948</v>
      </c>
      <c r="BJ5" s="21" t="s">
        <v>1021</v>
      </c>
      <c r="BK5" s="104" t="s">
        <v>948</v>
      </c>
      <c r="BL5" s="21" t="s">
        <v>1022</v>
      </c>
      <c r="BM5" s="16" t="s">
        <v>842</v>
      </c>
      <c r="BN5" s="16" t="s">
        <v>848</v>
      </c>
      <c r="BO5" s="16" t="s">
        <v>848</v>
      </c>
      <c r="BP5" s="16" t="s">
        <v>848</v>
      </c>
      <c r="BQ5" s="16" t="s">
        <v>848</v>
      </c>
      <c r="BR5" s="16" t="s">
        <v>842</v>
      </c>
      <c r="BS5" s="16" t="s">
        <v>18</v>
      </c>
      <c r="BT5" s="21" t="s">
        <v>949</v>
      </c>
      <c r="BU5" s="21" t="s">
        <v>949</v>
      </c>
      <c r="BV5" s="21" t="s">
        <v>949</v>
      </c>
      <c r="BW5" s="21" t="s">
        <v>949</v>
      </c>
      <c r="BX5" s="21" t="s">
        <v>949</v>
      </c>
      <c r="BY5" s="15" t="s">
        <v>102</v>
      </c>
      <c r="BZ5" s="155" t="s">
        <v>1023</v>
      </c>
      <c r="CA5" s="15" t="s">
        <v>102</v>
      </c>
      <c r="CB5" s="15" t="s">
        <v>102</v>
      </c>
      <c r="CC5" s="15" t="s">
        <v>102</v>
      </c>
      <c r="CD5" s="16" t="s">
        <v>842</v>
      </c>
      <c r="CE5" s="15" t="s">
        <v>102</v>
      </c>
      <c r="CF5" s="15" t="s">
        <v>102</v>
      </c>
      <c r="CG5" s="15" t="s">
        <v>102</v>
      </c>
      <c r="CH5" s="15" t="s">
        <v>102</v>
      </c>
      <c r="CI5" s="15" t="s">
        <v>102</v>
      </c>
      <c r="CJ5" s="13" t="s">
        <v>1024</v>
      </c>
      <c r="CK5" s="13" t="s">
        <v>1024</v>
      </c>
      <c r="CL5" s="13" t="s">
        <v>1024</v>
      </c>
      <c r="CM5" s="13" t="s">
        <v>1024</v>
      </c>
      <c r="CN5" s="13" t="s">
        <v>1024</v>
      </c>
      <c r="CO5" s="13" t="s">
        <v>1024</v>
      </c>
      <c r="CP5" s="13" t="s">
        <v>1024</v>
      </c>
      <c r="CQ5" s="13" t="s">
        <v>1024</v>
      </c>
      <c r="CR5" s="13" t="s">
        <v>1024</v>
      </c>
      <c r="CS5" s="13" t="s">
        <v>1024</v>
      </c>
      <c r="CT5" s="13" t="s">
        <v>1024</v>
      </c>
      <c r="CU5" s="105" t="s">
        <v>1024</v>
      </c>
      <c r="CV5" s="105" t="s">
        <v>1024</v>
      </c>
      <c r="CW5" s="105" t="s">
        <v>1024</v>
      </c>
      <c r="CX5" s="59" t="s">
        <v>866</v>
      </c>
      <c r="CY5" s="104" t="s">
        <v>855</v>
      </c>
      <c r="CZ5" s="105" t="s">
        <v>1024</v>
      </c>
      <c r="DA5" s="105" t="s">
        <v>1024</v>
      </c>
      <c r="DB5" s="105" t="s">
        <v>1024</v>
      </c>
      <c r="DC5" s="105" t="s">
        <v>1024</v>
      </c>
      <c r="DD5" s="213" t="s">
        <v>1025</v>
      </c>
      <c r="DE5" s="213" t="s">
        <v>1026</v>
      </c>
      <c r="DF5" s="213" t="s">
        <v>1027</v>
      </c>
      <c r="DG5" s="213" t="s">
        <v>1028</v>
      </c>
      <c r="DH5" s="213" t="s">
        <v>1029</v>
      </c>
      <c r="DI5" s="105" t="s">
        <v>1024</v>
      </c>
      <c r="DJ5" s="105" t="s">
        <v>1024</v>
      </c>
      <c r="DK5" s="213" t="s">
        <v>1030</v>
      </c>
      <c r="DL5" s="104" t="s">
        <v>961</v>
      </c>
      <c r="DM5" s="104" t="s">
        <v>961</v>
      </c>
      <c r="DN5" s="104" t="s">
        <v>961</v>
      </c>
      <c r="DO5" s="104" t="s">
        <v>961</v>
      </c>
      <c r="DP5" s="154" t="s">
        <v>1031</v>
      </c>
      <c r="DQ5" s="104" t="s">
        <v>961</v>
      </c>
      <c r="DR5" s="96" t="s">
        <v>868</v>
      </c>
      <c r="DS5" s="96" t="s">
        <v>868</v>
      </c>
      <c r="DT5" s="105" t="s">
        <v>869</v>
      </c>
      <c r="DU5" s="105" t="s">
        <v>1032</v>
      </c>
      <c r="DV5" s="105" t="s">
        <v>1032</v>
      </c>
      <c r="DW5" s="105" t="s">
        <v>1032</v>
      </c>
      <c r="DX5" s="213" t="s">
        <v>1033</v>
      </c>
      <c r="DY5" s="115" t="s">
        <v>18</v>
      </c>
      <c r="DZ5" s="115" t="s">
        <v>18</v>
      </c>
      <c r="EA5" s="115" t="s">
        <v>18</v>
      </c>
      <c r="EB5" s="148" t="s">
        <v>1034</v>
      </c>
      <c r="EC5" s="148" t="s">
        <v>1035</v>
      </c>
      <c r="ED5" s="148" t="s">
        <v>1035</v>
      </c>
      <c r="EE5" s="148" t="s">
        <v>1036</v>
      </c>
      <c r="EF5" s="148" t="s">
        <v>1036</v>
      </c>
      <c r="EG5" s="36" t="s">
        <v>875</v>
      </c>
      <c r="EH5" s="36" t="s">
        <v>875</v>
      </c>
      <c r="EI5" s="36" t="s">
        <v>875</v>
      </c>
      <c r="EJ5" s="36" t="s">
        <v>877</v>
      </c>
      <c r="EK5" s="36" t="s">
        <v>877</v>
      </c>
      <c r="EL5" s="36" t="s">
        <v>877</v>
      </c>
      <c r="EM5" s="36" t="s">
        <v>877</v>
      </c>
      <c r="EN5" s="36" t="s">
        <v>877</v>
      </c>
      <c r="EO5" s="293" t="s">
        <v>1037</v>
      </c>
      <c r="EP5" s="293" t="s">
        <v>146</v>
      </c>
      <c r="EQ5" s="293" t="s">
        <v>146</v>
      </c>
      <c r="ER5" s="293" t="s">
        <v>146</v>
      </c>
      <c r="ES5" s="293" t="s">
        <v>146</v>
      </c>
      <c r="ET5" s="292" t="s">
        <v>1037</v>
      </c>
      <c r="EU5" s="293" t="s">
        <v>146</v>
      </c>
      <c r="EV5" s="115" t="s">
        <v>1038</v>
      </c>
      <c r="EW5" s="115" t="s">
        <v>1038</v>
      </c>
      <c r="EX5" s="115" t="s">
        <v>1038</v>
      </c>
      <c r="EY5" s="115" t="s">
        <v>1038</v>
      </c>
      <c r="EZ5" s="115" t="s">
        <v>1038</v>
      </c>
      <c r="FA5" s="293" t="s">
        <v>146</v>
      </c>
      <c r="FB5" s="293" t="s">
        <v>146</v>
      </c>
      <c r="FC5" s="293" t="s">
        <v>146</v>
      </c>
      <c r="FD5" s="36" t="s">
        <v>1039</v>
      </c>
      <c r="FE5" s="250" t="s">
        <v>1040</v>
      </c>
      <c r="FF5" s="250" t="s">
        <v>1041</v>
      </c>
      <c r="FG5" s="250" t="s">
        <v>1042</v>
      </c>
      <c r="FH5" s="250" t="s">
        <v>1043</v>
      </c>
      <c r="FI5" s="250" t="s">
        <v>1044</v>
      </c>
      <c r="FJ5" s="148" t="s">
        <v>1045</v>
      </c>
      <c r="FK5" s="250" t="s">
        <v>1046</v>
      </c>
      <c r="FL5" s="293" t="s">
        <v>1047</v>
      </c>
      <c r="FM5" s="293" t="s">
        <v>1047</v>
      </c>
      <c r="FN5" s="36" t="s">
        <v>891</v>
      </c>
      <c r="FO5" s="36" t="s">
        <v>891</v>
      </c>
      <c r="FP5" s="115" t="s">
        <v>892</v>
      </c>
      <c r="FQ5" s="36" t="s">
        <v>891</v>
      </c>
      <c r="FR5" s="318" t="s">
        <v>1048</v>
      </c>
      <c r="FS5" s="36" t="s">
        <v>891</v>
      </c>
      <c r="FT5" s="36" t="s">
        <v>891</v>
      </c>
      <c r="FU5" s="36" t="s">
        <v>891</v>
      </c>
      <c r="FV5" s="36" t="s">
        <v>891</v>
      </c>
      <c r="FW5" s="36" t="s">
        <v>1049</v>
      </c>
      <c r="FX5" s="36" t="s">
        <v>1049</v>
      </c>
      <c r="FY5" s="293" t="s">
        <v>1050</v>
      </c>
      <c r="FZ5" s="293" t="s">
        <v>1050</v>
      </c>
      <c r="GA5" s="148" t="s">
        <v>1051</v>
      </c>
      <c r="GB5" s="148" t="s">
        <v>1051</v>
      </c>
      <c r="GC5" s="148" t="s">
        <v>1051</v>
      </c>
      <c r="GD5" s="148" t="s">
        <v>1051</v>
      </c>
      <c r="GE5" s="336" t="s">
        <v>899</v>
      </c>
      <c r="GF5" s="148" t="s">
        <v>1051</v>
      </c>
      <c r="GG5" s="36" t="s">
        <v>1052</v>
      </c>
      <c r="GH5" s="36" t="s">
        <v>1052</v>
      </c>
      <c r="GI5" s="116" t="s">
        <v>901</v>
      </c>
      <c r="GJ5" s="107" t="s">
        <v>1053</v>
      </c>
      <c r="GK5" s="107" t="s">
        <v>1054</v>
      </c>
      <c r="GL5" s="36" t="s">
        <v>1055</v>
      </c>
      <c r="GM5" s="36" t="s">
        <v>1055</v>
      </c>
      <c r="GN5" s="36" t="s">
        <v>991</v>
      </c>
      <c r="GO5" s="36" t="s">
        <v>991</v>
      </c>
      <c r="GP5" s="36" t="s">
        <v>802</v>
      </c>
      <c r="GQ5" s="36" t="s">
        <v>802</v>
      </c>
      <c r="GR5" s="316" t="s">
        <v>1056</v>
      </c>
      <c r="GS5" s="116" t="s">
        <v>905</v>
      </c>
      <c r="GT5" s="36" t="s">
        <v>907</v>
      </c>
      <c r="GU5" s="36" t="s">
        <v>907</v>
      </c>
      <c r="GV5" s="36" t="s">
        <v>908</v>
      </c>
      <c r="GW5" s="36" t="s">
        <v>907</v>
      </c>
      <c r="GX5" s="36" t="s">
        <v>907</v>
      </c>
      <c r="GY5" s="36" t="s">
        <v>907</v>
      </c>
      <c r="GZ5" s="351" t="s">
        <v>1057</v>
      </c>
      <c r="HA5" s="36" t="s">
        <v>1058</v>
      </c>
      <c r="HB5" s="36" t="s">
        <v>1059</v>
      </c>
      <c r="HC5" s="36" t="s">
        <v>1059</v>
      </c>
      <c r="HD5" s="36" t="s">
        <v>909</v>
      </c>
      <c r="HE5" s="36" t="s">
        <v>909</v>
      </c>
      <c r="HF5" s="36" t="s">
        <v>909</v>
      </c>
      <c r="HG5" s="36" t="s">
        <v>909</v>
      </c>
      <c r="HH5" s="36" t="s">
        <v>909</v>
      </c>
      <c r="HI5" s="36" t="s">
        <v>909</v>
      </c>
      <c r="HJ5" s="36" t="s">
        <v>909</v>
      </c>
      <c r="HK5" s="36" t="s">
        <v>909</v>
      </c>
      <c r="HL5" s="36" t="s">
        <v>909</v>
      </c>
      <c r="HM5" s="36" t="s">
        <v>909</v>
      </c>
      <c r="HN5" s="36" t="s">
        <v>909</v>
      </c>
      <c r="HO5" s="36" t="s">
        <v>909</v>
      </c>
      <c r="HP5" s="36" t="s">
        <v>909</v>
      </c>
      <c r="HQ5" s="36" t="s">
        <v>1060</v>
      </c>
      <c r="HR5" s="36" t="s">
        <v>1061</v>
      </c>
      <c r="HS5" s="392" t="s">
        <v>189</v>
      </c>
      <c r="HT5" s="392" t="s">
        <v>1062</v>
      </c>
      <c r="HU5" s="36" t="s">
        <v>1060</v>
      </c>
      <c r="HV5" s="36" t="s">
        <v>1060</v>
      </c>
      <c r="HW5" s="36" t="s">
        <v>1060</v>
      </c>
      <c r="HX5" s="36" t="s">
        <v>1063</v>
      </c>
      <c r="HY5" s="36" t="s">
        <v>914</v>
      </c>
      <c r="HZ5" s="36" t="s">
        <v>915</v>
      </c>
      <c r="IA5" s="36" t="s">
        <v>915</v>
      </c>
      <c r="IB5" s="36" t="s">
        <v>915</v>
      </c>
      <c r="IC5" s="36" t="s">
        <v>915</v>
      </c>
      <c r="ID5" s="36" t="s">
        <v>915</v>
      </c>
      <c r="IE5" s="36" t="s">
        <v>915</v>
      </c>
      <c r="IF5" s="36" t="s">
        <v>915</v>
      </c>
      <c r="IG5" s="36" t="s">
        <v>915</v>
      </c>
      <c r="IH5" s="36" t="s">
        <v>915</v>
      </c>
      <c r="II5" s="36" t="s">
        <v>915</v>
      </c>
      <c r="IJ5" s="36" t="s">
        <v>915</v>
      </c>
      <c r="IK5" s="36" t="s">
        <v>915</v>
      </c>
      <c r="IL5" s="36" t="s">
        <v>915</v>
      </c>
      <c r="IM5" s="116" t="s">
        <v>918</v>
      </c>
      <c r="IN5" s="156" t="s">
        <v>1064</v>
      </c>
      <c r="IO5" s="156" t="s">
        <v>1064</v>
      </c>
      <c r="IP5" s="701" t="s">
        <v>1065</v>
      </c>
      <c r="IQ5" s="297" t="s">
        <v>1066</v>
      </c>
      <c r="IR5" s="297" t="s">
        <v>1067</v>
      </c>
      <c r="IS5" s="297" t="s">
        <v>1067</v>
      </c>
      <c r="IT5" s="297" t="s">
        <v>1067</v>
      </c>
      <c r="IU5" s="297" t="s">
        <v>923</v>
      </c>
      <c r="IV5" s="651" t="s">
        <v>193</v>
      </c>
      <c r="IW5" s="297" t="s">
        <v>925</v>
      </c>
      <c r="IX5" s="297" t="s">
        <v>1068</v>
      </c>
      <c r="IY5" s="36" t="s">
        <v>926</v>
      </c>
      <c r="IZ5" s="36" t="s">
        <v>926</v>
      </c>
      <c r="JA5" s="36" t="s">
        <v>926</v>
      </c>
      <c r="JB5" s="36" t="s">
        <v>926</v>
      </c>
      <c r="JC5" s="165" t="s">
        <v>1012</v>
      </c>
      <c r="JD5" s="165" t="s">
        <v>1012</v>
      </c>
      <c r="JE5" s="165" t="s">
        <v>1012</v>
      </c>
      <c r="JF5" s="165" t="s">
        <v>1069</v>
      </c>
      <c r="JG5" s="116" t="s">
        <v>1070</v>
      </c>
      <c r="JH5" s="116" t="s">
        <v>1070</v>
      </c>
      <c r="JI5" s="116" t="s">
        <v>1070</v>
      </c>
      <c r="JJ5" s="116" t="s">
        <v>1070</v>
      </c>
      <c r="JK5" s="116" t="s">
        <v>1070</v>
      </c>
      <c r="JL5" s="148" t="s">
        <v>927</v>
      </c>
      <c r="JM5" s="148" t="s">
        <v>927</v>
      </c>
      <c r="JN5" s="148" t="s">
        <v>927</v>
      </c>
      <c r="JO5" s="95" t="s">
        <v>928</v>
      </c>
      <c r="JP5" s="95" t="s">
        <v>928</v>
      </c>
      <c r="JQ5" s="95" t="s">
        <v>928</v>
      </c>
      <c r="JR5" s="95" t="s">
        <v>928</v>
      </c>
      <c r="JS5" s="95" t="s">
        <v>928</v>
      </c>
      <c r="JT5" s="95" t="s">
        <v>928</v>
      </c>
      <c r="JU5" s="95" t="s">
        <v>928</v>
      </c>
      <c r="JV5" s="165" t="s">
        <v>943</v>
      </c>
      <c r="JW5" s="165" t="s">
        <v>943</v>
      </c>
      <c r="JX5" s="165" t="s">
        <v>943</v>
      </c>
      <c r="JY5" s="297" t="s">
        <v>1056</v>
      </c>
      <c r="JZ5" s="297" t="s">
        <v>1056</v>
      </c>
      <c r="KA5" s="316" t="s">
        <v>1071</v>
      </c>
      <c r="KB5" s="316" t="s">
        <v>1071</v>
      </c>
      <c r="KC5" s="316" t="s">
        <v>1071</v>
      </c>
      <c r="KD5" s="316" t="s">
        <v>1071</v>
      </c>
      <c r="KE5" s="316" t="s">
        <v>1071</v>
      </c>
      <c r="KF5" s="316" t="s">
        <v>1071</v>
      </c>
      <c r="KG5" s="316" t="s">
        <v>1071</v>
      </c>
      <c r="KH5" s="330" t="s">
        <v>930</v>
      </c>
      <c r="KI5" s="316" t="s">
        <v>1071</v>
      </c>
      <c r="KJ5" s="316" t="s">
        <v>1071</v>
      </c>
      <c r="KK5" s="316" t="s">
        <v>1071</v>
      </c>
      <c r="KL5" s="156" t="s">
        <v>1072</v>
      </c>
      <c r="KM5" s="297" t="s">
        <v>1072</v>
      </c>
      <c r="KN5" s="392" t="s">
        <v>1073</v>
      </c>
      <c r="KO5" s="36"/>
      <c r="KP5" s="36"/>
      <c r="KQ5" s="36"/>
      <c r="KR5" s="36"/>
      <c r="KS5" s="330" t="s">
        <v>933</v>
      </c>
      <c r="KT5" s="330" t="s">
        <v>933</v>
      </c>
      <c r="KU5" s="316"/>
      <c r="KV5" s="316"/>
      <c r="KW5" s="316"/>
      <c r="KX5" s="316"/>
      <c r="KY5" s="316"/>
      <c r="KZ5" s="316"/>
      <c r="LA5" s="316"/>
      <c r="LB5" s="316"/>
      <c r="LC5" s="316"/>
      <c r="LD5" s="316"/>
      <c r="LE5" s="316"/>
      <c r="LF5" s="316"/>
      <c r="LG5" s="36"/>
      <c r="LH5" s="36"/>
      <c r="LI5" s="36"/>
      <c r="LJ5" s="36"/>
      <c r="LK5" s="36"/>
      <c r="LL5" s="36"/>
      <c r="LM5" s="36"/>
      <c r="LN5" s="330" t="s">
        <v>936</v>
      </c>
      <c r="LO5" s="330" t="s">
        <v>848</v>
      </c>
      <c r="LP5" s="330" t="s">
        <v>848</v>
      </c>
      <c r="LQ5" s="330" t="s">
        <v>848</v>
      </c>
      <c r="LR5" s="330" t="s">
        <v>848</v>
      </c>
      <c r="LS5" s="330" t="s">
        <v>937</v>
      </c>
    </row>
    <row r="6" spans="1:364" ht="99.95" customHeight="1">
      <c r="A6" s="18" t="s">
        <v>25</v>
      </c>
      <c r="B6" s="13" t="s">
        <v>836</v>
      </c>
      <c r="C6" s="13" t="s">
        <v>836</v>
      </c>
      <c r="D6" s="12" t="s">
        <v>842</v>
      </c>
      <c r="E6" s="12" t="s">
        <v>842</v>
      </c>
      <c r="F6" s="12" t="s">
        <v>18</v>
      </c>
      <c r="G6" s="13" t="s">
        <v>836</v>
      </c>
      <c r="H6" s="13" t="s">
        <v>838</v>
      </c>
      <c r="I6" s="13" t="s">
        <v>837</v>
      </c>
      <c r="J6" s="13" t="s">
        <v>837</v>
      </c>
      <c r="K6" s="13" t="s">
        <v>837</v>
      </c>
      <c r="L6" s="13" t="s">
        <v>838</v>
      </c>
      <c r="M6" s="13" t="s">
        <v>838</v>
      </c>
      <c r="N6" s="13" t="s">
        <v>838</v>
      </c>
      <c r="O6" s="13" t="s">
        <v>838</v>
      </c>
      <c r="P6" s="13" t="s">
        <v>838</v>
      </c>
      <c r="Q6" s="12" t="s">
        <v>842</v>
      </c>
      <c r="R6" s="12" t="s">
        <v>842</v>
      </c>
      <c r="S6" s="13" t="s">
        <v>838</v>
      </c>
      <c r="T6" s="13" t="s">
        <v>838</v>
      </c>
      <c r="U6" s="13" t="s">
        <v>838</v>
      </c>
      <c r="V6" s="13" t="s">
        <v>1074</v>
      </c>
      <c r="W6" s="13" t="s">
        <v>1074</v>
      </c>
      <c r="X6" s="13" t="s">
        <v>1075</v>
      </c>
      <c r="Y6" s="13" t="s">
        <v>1075</v>
      </c>
      <c r="Z6" s="13" t="s">
        <v>838</v>
      </c>
      <c r="AA6" s="13" t="s">
        <v>838</v>
      </c>
      <c r="AB6" s="13" t="s">
        <v>838</v>
      </c>
      <c r="AC6" s="13" t="s">
        <v>838</v>
      </c>
      <c r="AD6" s="13" t="s">
        <v>838</v>
      </c>
      <c r="AE6" s="13" t="s">
        <v>838</v>
      </c>
      <c r="AF6" s="32" t="s">
        <v>20</v>
      </c>
      <c r="AG6" s="12" t="s">
        <v>18</v>
      </c>
      <c r="AH6" s="12" t="s">
        <v>18</v>
      </c>
      <c r="AI6" s="12" t="s">
        <v>18</v>
      </c>
      <c r="AJ6" s="12" t="s">
        <v>18</v>
      </c>
      <c r="AK6" s="32" t="s">
        <v>20</v>
      </c>
      <c r="AL6" s="32" t="s">
        <v>20</v>
      </c>
      <c r="AM6" s="32" t="s">
        <v>20</v>
      </c>
      <c r="AN6" s="32" t="s">
        <v>20</v>
      </c>
      <c r="AO6" s="32" t="s">
        <v>20</v>
      </c>
      <c r="AP6" s="32" t="s">
        <v>20</v>
      </c>
      <c r="AQ6" s="32" t="s">
        <v>20</v>
      </c>
      <c r="AR6" s="32" t="s">
        <v>20</v>
      </c>
      <c r="AS6" s="32" t="s">
        <v>20</v>
      </c>
      <c r="AT6" s="32" t="s">
        <v>20</v>
      </c>
      <c r="AU6" s="32" t="s">
        <v>20</v>
      </c>
      <c r="AV6" s="20" t="s">
        <v>18</v>
      </c>
      <c r="AW6" s="20" t="s">
        <v>18</v>
      </c>
      <c r="AX6" s="32" t="s">
        <v>20</v>
      </c>
      <c r="AY6" s="21" t="s">
        <v>1076</v>
      </c>
      <c r="AZ6" s="21" t="s">
        <v>1076</v>
      </c>
      <c r="BA6" s="20" t="s">
        <v>18</v>
      </c>
      <c r="BB6" s="20" t="s">
        <v>18</v>
      </c>
      <c r="BC6" s="20" t="s">
        <v>18</v>
      </c>
      <c r="BD6" s="20" t="s">
        <v>18</v>
      </c>
      <c r="BE6" s="21" t="s">
        <v>847</v>
      </c>
      <c r="BF6" s="21" t="s">
        <v>847</v>
      </c>
      <c r="BG6" s="21" t="s">
        <v>1076</v>
      </c>
      <c r="BH6" s="21" t="s">
        <v>1076</v>
      </c>
      <c r="BI6" s="21" t="s">
        <v>1076</v>
      </c>
      <c r="BJ6" s="21" t="s">
        <v>1076</v>
      </c>
      <c r="BK6" s="21" t="s">
        <v>1076</v>
      </c>
      <c r="BL6" s="21" t="s">
        <v>1076</v>
      </c>
      <c r="BM6" s="16" t="s">
        <v>842</v>
      </c>
      <c r="BN6" s="59" t="s">
        <v>848</v>
      </c>
      <c r="BO6" s="16" t="s">
        <v>848</v>
      </c>
      <c r="BP6" s="16" t="s">
        <v>848</v>
      </c>
      <c r="BQ6" s="16" t="s">
        <v>848</v>
      </c>
      <c r="BR6" s="16" t="s">
        <v>842</v>
      </c>
      <c r="BS6" s="102" t="s">
        <v>1077</v>
      </c>
      <c r="BT6" s="15" t="s">
        <v>102</v>
      </c>
      <c r="BU6" s="15" t="s">
        <v>102</v>
      </c>
      <c r="BV6" s="15" t="s">
        <v>102</v>
      </c>
      <c r="BW6" s="15" t="s">
        <v>102</v>
      </c>
      <c r="BX6" s="15" t="s">
        <v>102</v>
      </c>
      <c r="BY6" s="15" t="s">
        <v>102</v>
      </c>
      <c r="BZ6" s="15" t="s">
        <v>102</v>
      </c>
      <c r="CA6" s="15" t="s">
        <v>102</v>
      </c>
      <c r="CB6" s="59" t="s">
        <v>751</v>
      </c>
      <c r="CC6" s="15" t="s">
        <v>102</v>
      </c>
      <c r="CD6" s="15" t="s">
        <v>102</v>
      </c>
      <c r="CE6" s="15" t="s">
        <v>102</v>
      </c>
      <c r="CF6" s="15" t="s">
        <v>102</v>
      </c>
      <c r="CG6" s="15" t="s">
        <v>102</v>
      </c>
      <c r="CH6" s="15" t="s">
        <v>102</v>
      </c>
      <c r="CI6" s="59" t="s">
        <v>787</v>
      </c>
      <c r="CJ6" s="15" t="s">
        <v>102</v>
      </c>
      <c r="CK6" s="21" t="s">
        <v>855</v>
      </c>
      <c r="CL6" s="21" t="s">
        <v>1078</v>
      </c>
      <c r="CM6" s="21" t="s">
        <v>1078</v>
      </c>
      <c r="CN6" s="104" t="s">
        <v>1078</v>
      </c>
      <c r="CO6" s="104" t="s">
        <v>1078</v>
      </c>
      <c r="CP6" s="104" t="s">
        <v>1078</v>
      </c>
      <c r="CQ6" s="104" t="s">
        <v>1078</v>
      </c>
      <c r="CR6" s="104" t="s">
        <v>1078</v>
      </c>
      <c r="CS6" s="104" t="s">
        <v>1078</v>
      </c>
      <c r="CT6" s="104" t="s">
        <v>1078</v>
      </c>
      <c r="CU6" s="104" t="s">
        <v>1078</v>
      </c>
      <c r="CV6" s="213" t="s">
        <v>1079</v>
      </c>
      <c r="CW6" s="213" t="s">
        <v>1080</v>
      </c>
      <c r="CX6" s="104" t="s">
        <v>1078</v>
      </c>
      <c r="CY6" s="104" t="s">
        <v>1078</v>
      </c>
      <c r="CZ6" s="213" t="s">
        <v>1081</v>
      </c>
      <c r="DA6" s="104" t="s">
        <v>1078</v>
      </c>
      <c r="DB6" s="104" t="s">
        <v>1078</v>
      </c>
      <c r="DC6" s="104" t="s">
        <v>1078</v>
      </c>
      <c r="DD6" s="104" t="s">
        <v>1078</v>
      </c>
      <c r="DE6" s="213" t="s">
        <v>1082</v>
      </c>
      <c r="DF6" s="213" t="s">
        <v>1083</v>
      </c>
      <c r="DG6" s="213" t="s">
        <v>1084</v>
      </c>
      <c r="DH6" s="213" t="s">
        <v>1085</v>
      </c>
      <c r="DI6" s="104" t="s">
        <v>1086</v>
      </c>
      <c r="DJ6" s="104" t="s">
        <v>1087</v>
      </c>
      <c r="DK6" s="133" t="s">
        <v>18</v>
      </c>
      <c r="DL6" s="104" t="s">
        <v>1088</v>
      </c>
      <c r="DM6" s="104" t="s">
        <v>1088</v>
      </c>
      <c r="DN6" s="104" t="s">
        <v>1088</v>
      </c>
      <c r="DO6" s="104" t="s">
        <v>1088</v>
      </c>
      <c r="DP6" s="104" t="s">
        <v>1088</v>
      </c>
      <c r="DQ6" s="213" t="s">
        <v>1089</v>
      </c>
      <c r="DR6" s="96" t="s">
        <v>868</v>
      </c>
      <c r="DS6" s="96" t="s">
        <v>868</v>
      </c>
      <c r="DT6" s="104" t="s">
        <v>1088</v>
      </c>
      <c r="DU6" s="104" t="s">
        <v>1088</v>
      </c>
      <c r="DV6" s="104" t="s">
        <v>1088</v>
      </c>
      <c r="DW6" s="148" t="s">
        <v>1035</v>
      </c>
      <c r="DX6" s="148" t="s">
        <v>1035</v>
      </c>
      <c r="DY6" s="148" t="s">
        <v>1035</v>
      </c>
      <c r="DZ6" s="148" t="s">
        <v>1035</v>
      </c>
      <c r="EA6" s="21"/>
      <c r="EB6" s="21"/>
      <c r="EC6" s="21"/>
      <c r="ED6" s="97"/>
      <c r="EE6" s="36"/>
      <c r="EF6" s="36"/>
      <c r="EG6" s="36" t="s">
        <v>1090</v>
      </c>
      <c r="EH6" s="36" t="s">
        <v>875</v>
      </c>
      <c r="EI6" s="36" t="s">
        <v>875</v>
      </c>
      <c r="EJ6" s="36" t="s">
        <v>877</v>
      </c>
      <c r="EK6" s="36" t="s">
        <v>877</v>
      </c>
      <c r="EL6" s="36" t="s">
        <v>877</v>
      </c>
      <c r="EM6" s="36" t="s">
        <v>877</v>
      </c>
      <c r="EN6" s="36" t="s">
        <v>877</v>
      </c>
      <c r="EO6" s="36" t="s">
        <v>877</v>
      </c>
      <c r="EP6" s="292" t="s">
        <v>1091</v>
      </c>
      <c r="EQ6" s="292" t="s">
        <v>146</v>
      </c>
      <c r="ER6" s="292" t="s">
        <v>146</v>
      </c>
      <c r="ES6" s="292" t="s">
        <v>146</v>
      </c>
      <c r="ET6" s="115" t="s">
        <v>1092</v>
      </c>
      <c r="EU6" s="292" t="s">
        <v>146</v>
      </c>
      <c r="EV6" s="292" t="s">
        <v>1091</v>
      </c>
      <c r="EW6" s="292" t="s">
        <v>146</v>
      </c>
      <c r="EX6" s="292" t="s">
        <v>146</v>
      </c>
      <c r="EY6" s="292" t="s">
        <v>146</v>
      </c>
      <c r="EZ6" s="292" t="s">
        <v>146</v>
      </c>
      <c r="FA6" s="115" t="s">
        <v>1093</v>
      </c>
      <c r="FB6" s="294" t="s">
        <v>1091</v>
      </c>
      <c r="FC6" s="294" t="s">
        <v>146</v>
      </c>
      <c r="FD6" s="294" t="s">
        <v>146</v>
      </c>
      <c r="FE6" s="294" t="s">
        <v>146</v>
      </c>
      <c r="FF6" s="294" t="s">
        <v>146</v>
      </c>
      <c r="FG6" s="294" t="s">
        <v>146</v>
      </c>
      <c r="FH6" s="250" t="s">
        <v>1094</v>
      </c>
      <c r="FI6" s="250" t="s">
        <v>1095</v>
      </c>
      <c r="FJ6" s="250" t="s">
        <v>1096</v>
      </c>
      <c r="FK6" s="250" t="s">
        <v>1097</v>
      </c>
      <c r="FL6" s="250" t="s">
        <v>1098</v>
      </c>
      <c r="FM6" s="250" t="s">
        <v>1099</v>
      </c>
      <c r="FN6" s="250" t="s">
        <v>1100</v>
      </c>
      <c r="FO6" s="250" t="s">
        <v>1101</v>
      </c>
      <c r="FP6" s="250" t="s">
        <v>1102</v>
      </c>
      <c r="FQ6" s="250" t="s">
        <v>1103</v>
      </c>
      <c r="FR6" s="223" t="s">
        <v>891</v>
      </c>
      <c r="FS6" s="319" t="s">
        <v>1104</v>
      </c>
      <c r="FT6" s="223" t="s">
        <v>891</v>
      </c>
      <c r="FU6" s="36" t="s">
        <v>1105</v>
      </c>
      <c r="FV6" s="36" t="s">
        <v>1105</v>
      </c>
      <c r="FW6" s="116" t="s">
        <v>18</v>
      </c>
      <c r="FX6" s="36" t="s">
        <v>1106</v>
      </c>
      <c r="FY6" s="36" t="s">
        <v>1106</v>
      </c>
      <c r="FZ6" s="229" t="s">
        <v>1106</v>
      </c>
      <c r="GA6" s="229" t="s">
        <v>1106</v>
      </c>
      <c r="GB6" s="229" t="s">
        <v>1106</v>
      </c>
      <c r="GC6" s="107" t="s">
        <v>1107</v>
      </c>
      <c r="GD6" s="107" t="s">
        <v>1107</v>
      </c>
      <c r="GE6" s="336" t="s">
        <v>899</v>
      </c>
      <c r="GF6" s="336" t="s">
        <v>899</v>
      </c>
      <c r="GG6" s="36" t="s">
        <v>1108</v>
      </c>
      <c r="GH6" s="36" t="s">
        <v>1108</v>
      </c>
      <c r="GI6" s="229" t="s">
        <v>1108</v>
      </c>
      <c r="GJ6" s="229" t="s">
        <v>1108</v>
      </c>
      <c r="GK6" s="36" t="s">
        <v>1108</v>
      </c>
      <c r="GL6" s="36" t="s">
        <v>991</v>
      </c>
      <c r="GM6" s="36" t="s">
        <v>991</v>
      </c>
      <c r="GN6" s="36" t="s">
        <v>802</v>
      </c>
      <c r="GO6" s="350" t="s">
        <v>1109</v>
      </c>
      <c r="GP6" s="350" t="s">
        <v>1109</v>
      </c>
      <c r="GQ6" s="350" t="s">
        <v>1109</v>
      </c>
      <c r="GR6" s="350" t="s">
        <v>1109</v>
      </c>
      <c r="GS6" s="350" t="s">
        <v>1109</v>
      </c>
      <c r="GT6" s="36" t="s">
        <v>907</v>
      </c>
      <c r="GU6" s="36" t="s">
        <v>907</v>
      </c>
      <c r="GV6" s="36" t="s">
        <v>907</v>
      </c>
      <c r="GW6" s="36" t="s">
        <v>909</v>
      </c>
      <c r="GX6" s="36" t="s">
        <v>909</v>
      </c>
      <c r="GY6" s="36" t="s">
        <v>909</v>
      </c>
      <c r="GZ6" s="36" t="s">
        <v>909</v>
      </c>
      <c r="HA6" s="36" t="s">
        <v>909</v>
      </c>
      <c r="HB6" s="36" t="s">
        <v>909</v>
      </c>
      <c r="HC6" s="644" t="s">
        <v>807</v>
      </c>
      <c r="HD6" s="644" t="s">
        <v>807</v>
      </c>
      <c r="HE6" s="644" t="s">
        <v>807</v>
      </c>
      <c r="HF6" s="36" t="s">
        <v>909</v>
      </c>
      <c r="HG6" s="36" t="s">
        <v>909</v>
      </c>
      <c r="HH6" s="116" t="s">
        <v>18</v>
      </c>
      <c r="HI6" s="36" t="s">
        <v>909</v>
      </c>
      <c r="HJ6" s="36" t="s">
        <v>909</v>
      </c>
      <c r="HK6" s="36" t="s">
        <v>909</v>
      </c>
      <c r="HL6" s="36" t="s">
        <v>909</v>
      </c>
      <c r="HM6" s="36" t="s">
        <v>909</v>
      </c>
      <c r="HN6" s="350" t="s">
        <v>1110</v>
      </c>
      <c r="HO6" s="350" t="s">
        <v>1110</v>
      </c>
      <c r="HP6" s="350" t="s">
        <v>1110</v>
      </c>
      <c r="HQ6" s="350" t="s">
        <v>1110</v>
      </c>
      <c r="HR6" s="350" t="s">
        <v>1110</v>
      </c>
      <c r="HS6" s="36" t="s">
        <v>1111</v>
      </c>
      <c r="HT6" s="36" t="s">
        <v>1111</v>
      </c>
      <c r="HU6" s="36" t="s">
        <v>1111</v>
      </c>
      <c r="HV6" s="116" t="s">
        <v>18</v>
      </c>
      <c r="HW6" s="116" t="s">
        <v>18</v>
      </c>
      <c r="HX6" s="36" t="s">
        <v>1066</v>
      </c>
      <c r="HY6" s="36" t="s">
        <v>914</v>
      </c>
      <c r="HZ6" s="36" t="s">
        <v>915</v>
      </c>
      <c r="IA6" s="36" t="s">
        <v>915</v>
      </c>
      <c r="IB6" s="36" t="s">
        <v>915</v>
      </c>
      <c r="IC6" s="36" t="s">
        <v>915</v>
      </c>
      <c r="ID6" s="36" t="s">
        <v>915</v>
      </c>
      <c r="IE6" s="36" t="s">
        <v>915</v>
      </c>
      <c r="IF6" s="36" t="s">
        <v>1112</v>
      </c>
      <c r="IG6" s="116" t="s">
        <v>18</v>
      </c>
      <c r="IH6" s="36" t="s">
        <v>1113</v>
      </c>
      <c r="II6" s="36" t="s">
        <v>1113</v>
      </c>
      <c r="IJ6" s="36" t="s">
        <v>1113</v>
      </c>
      <c r="IK6" s="36" t="s">
        <v>1114</v>
      </c>
      <c r="IL6" s="116" t="s">
        <v>18</v>
      </c>
      <c r="IM6" s="36" t="s">
        <v>1115</v>
      </c>
      <c r="IN6" s="36" t="s">
        <v>1116</v>
      </c>
      <c r="IO6" s="36" t="s">
        <v>1116</v>
      </c>
      <c r="IP6" s="36" t="s">
        <v>1116</v>
      </c>
      <c r="IQ6" s="36" t="s">
        <v>1117</v>
      </c>
      <c r="IR6" s="118" t="s">
        <v>1118</v>
      </c>
      <c r="IS6" s="297" t="s">
        <v>923</v>
      </c>
      <c r="IT6" s="720" t="s">
        <v>1119</v>
      </c>
      <c r="IU6" s="720" t="s">
        <v>1119</v>
      </c>
      <c r="IV6" s="720" t="s">
        <v>1119</v>
      </c>
      <c r="IW6" s="720" t="s">
        <v>1119</v>
      </c>
      <c r="IX6" s="651" t="s">
        <v>193</v>
      </c>
      <c r="IY6" s="36" t="s">
        <v>926</v>
      </c>
      <c r="IZ6" s="684" t="s">
        <v>18</v>
      </c>
      <c r="JA6" s="36" t="s">
        <v>926</v>
      </c>
      <c r="JB6" s="36" t="s">
        <v>926</v>
      </c>
      <c r="JC6" s="36" t="s">
        <v>926</v>
      </c>
      <c r="JD6" s="36" t="s">
        <v>926</v>
      </c>
      <c r="JE6" s="369" t="s">
        <v>1008</v>
      </c>
      <c r="JF6" s="118" t="s">
        <v>1120</v>
      </c>
      <c r="JG6" s="297" t="s">
        <v>1008</v>
      </c>
      <c r="JH6" s="36" t="s">
        <v>927</v>
      </c>
      <c r="JI6" s="36" t="s">
        <v>927</v>
      </c>
      <c r="JJ6" s="36" t="s">
        <v>927</v>
      </c>
      <c r="JK6" s="95" t="s">
        <v>928</v>
      </c>
      <c r="JL6" s="95" t="s">
        <v>928</v>
      </c>
      <c r="JM6" s="95" t="s">
        <v>928</v>
      </c>
      <c r="JN6" s="95" t="s">
        <v>928</v>
      </c>
      <c r="JO6" s="116" t="s">
        <v>1121</v>
      </c>
      <c r="JP6" s="95" t="s">
        <v>928</v>
      </c>
      <c r="JQ6" s="95" t="s">
        <v>928</v>
      </c>
      <c r="JR6" s="95" t="s">
        <v>928</v>
      </c>
      <c r="JS6" s="330" t="s">
        <v>1122</v>
      </c>
      <c r="JT6" s="95" t="s">
        <v>928</v>
      </c>
      <c r="JU6" s="95" t="s">
        <v>928</v>
      </c>
      <c r="JV6" s="95" t="s">
        <v>928</v>
      </c>
      <c r="JW6" s="95" t="s">
        <v>928</v>
      </c>
      <c r="JX6" s="95" t="s">
        <v>928</v>
      </c>
      <c r="JY6" s="116" t="s">
        <v>1123</v>
      </c>
      <c r="JZ6" s="36" t="s">
        <v>1117</v>
      </c>
      <c r="KA6" s="297" t="s">
        <v>1124</v>
      </c>
      <c r="KB6" s="297" t="s">
        <v>1124</v>
      </c>
      <c r="KC6" s="297" t="s">
        <v>1124</v>
      </c>
      <c r="KD6" s="297" t="s">
        <v>1124</v>
      </c>
      <c r="KE6" s="297" t="s">
        <v>1124</v>
      </c>
      <c r="KF6" s="330" t="s">
        <v>1125</v>
      </c>
      <c r="KG6" s="297" t="s">
        <v>1124</v>
      </c>
      <c r="KH6" s="297" t="s">
        <v>1124</v>
      </c>
      <c r="KI6" s="297" t="s">
        <v>1124</v>
      </c>
      <c r="KJ6" s="297" t="s">
        <v>1124</v>
      </c>
      <c r="KK6" s="297" t="s">
        <v>1124</v>
      </c>
      <c r="KL6" s="297" t="s">
        <v>1124</v>
      </c>
      <c r="KM6" s="297" t="s">
        <v>1124</v>
      </c>
      <c r="KN6" s="36" t="s">
        <v>1126</v>
      </c>
      <c r="KO6" s="36" t="s">
        <v>1126</v>
      </c>
      <c r="KP6" s="36"/>
      <c r="KQ6" s="297"/>
      <c r="KR6" s="297"/>
      <c r="KS6" s="297"/>
      <c r="KT6" s="297"/>
      <c r="KU6" s="297"/>
      <c r="KV6" s="297"/>
      <c r="KW6" s="297"/>
      <c r="KX6" s="297"/>
      <c r="KY6" s="297"/>
      <c r="KZ6" s="297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30" t="s">
        <v>936</v>
      </c>
      <c r="LS6" s="330" t="s">
        <v>937</v>
      </c>
    </row>
    <row r="7" spans="1:364" ht="117.75" customHeight="1">
      <c r="A7" s="19" t="s">
        <v>26</v>
      </c>
      <c r="B7" s="112" t="s">
        <v>836</v>
      </c>
      <c r="C7" s="112" t="s">
        <v>836</v>
      </c>
      <c r="D7" s="128" t="s">
        <v>842</v>
      </c>
      <c r="E7" s="128" t="s">
        <v>842</v>
      </c>
      <c r="F7" s="112" t="s">
        <v>836</v>
      </c>
      <c r="G7" s="112" t="s">
        <v>836</v>
      </c>
      <c r="H7" s="112" t="s">
        <v>836</v>
      </c>
      <c r="I7" s="112" t="s">
        <v>836</v>
      </c>
      <c r="J7" s="112" t="s">
        <v>837</v>
      </c>
      <c r="K7" s="112" t="s">
        <v>1127</v>
      </c>
      <c r="L7" s="112" t="s">
        <v>1127</v>
      </c>
      <c r="M7" s="112" t="s">
        <v>1127</v>
      </c>
      <c r="N7" s="112" t="s">
        <v>1127</v>
      </c>
      <c r="O7" s="112" t="s">
        <v>1127</v>
      </c>
      <c r="P7" s="112" t="s">
        <v>1127</v>
      </c>
      <c r="Q7" s="128" t="s">
        <v>842</v>
      </c>
      <c r="R7" s="128" t="s">
        <v>842</v>
      </c>
      <c r="S7" s="128" t="s">
        <v>18</v>
      </c>
      <c r="T7" s="128" t="s">
        <v>18</v>
      </c>
      <c r="U7" s="128" t="s">
        <v>18</v>
      </c>
      <c r="V7" s="112" t="s">
        <v>838</v>
      </c>
      <c r="W7" s="112" t="s">
        <v>838</v>
      </c>
      <c r="X7" s="112" t="s">
        <v>838</v>
      </c>
      <c r="Y7" s="112" t="s">
        <v>838</v>
      </c>
      <c r="Z7" s="112" t="s">
        <v>838</v>
      </c>
      <c r="AA7" s="112" t="s">
        <v>838</v>
      </c>
      <c r="AB7" s="112" t="s">
        <v>1128</v>
      </c>
      <c r="AC7" s="112" t="s">
        <v>838</v>
      </c>
      <c r="AD7" s="129" t="s">
        <v>1129</v>
      </c>
      <c r="AE7" s="112" t="s">
        <v>838</v>
      </c>
      <c r="AF7" s="112" t="s">
        <v>838</v>
      </c>
      <c r="AG7" s="112" t="s">
        <v>838</v>
      </c>
      <c r="AH7" s="112" t="s">
        <v>838</v>
      </c>
      <c r="AI7" s="112" t="s">
        <v>838</v>
      </c>
      <c r="AJ7" s="112" t="s">
        <v>838</v>
      </c>
      <c r="AK7" s="112" t="s">
        <v>1130</v>
      </c>
      <c r="AL7" s="112" t="s">
        <v>1130</v>
      </c>
      <c r="AM7" s="112" t="s">
        <v>1130</v>
      </c>
      <c r="AN7" s="112" t="s">
        <v>1130</v>
      </c>
      <c r="AO7" s="112" t="s">
        <v>1130</v>
      </c>
      <c r="AP7" s="128" t="s">
        <v>18</v>
      </c>
      <c r="AQ7" s="112" t="s">
        <v>1130</v>
      </c>
      <c r="AR7" s="112" t="s">
        <v>1130</v>
      </c>
      <c r="AS7" s="112" t="s">
        <v>1130</v>
      </c>
      <c r="AT7" s="112" t="s">
        <v>1130</v>
      </c>
      <c r="AU7" s="112" t="s">
        <v>1130</v>
      </c>
      <c r="AV7" s="112" t="s">
        <v>1130</v>
      </c>
      <c r="AW7" s="112" t="s">
        <v>1130</v>
      </c>
      <c r="AX7" s="130" t="s">
        <v>1131</v>
      </c>
      <c r="AY7" s="130" t="s">
        <v>1131</v>
      </c>
      <c r="AZ7" s="130" t="s">
        <v>1131</v>
      </c>
      <c r="BA7" s="57" t="s">
        <v>1132</v>
      </c>
      <c r="BB7" s="57" t="s">
        <v>1133</v>
      </c>
      <c r="BC7" s="57" t="s">
        <v>1134</v>
      </c>
      <c r="BD7" s="58" t="s">
        <v>1135</v>
      </c>
      <c r="BE7" s="113" t="s">
        <v>847</v>
      </c>
      <c r="BF7" s="113" t="s">
        <v>847</v>
      </c>
      <c r="BG7" s="113" t="s">
        <v>1136</v>
      </c>
      <c r="BH7" s="113" t="s">
        <v>1136</v>
      </c>
      <c r="BI7" s="113" t="s">
        <v>1136</v>
      </c>
      <c r="BJ7" s="113" t="s">
        <v>1136</v>
      </c>
      <c r="BK7" s="113" t="s">
        <v>1136</v>
      </c>
      <c r="BL7" s="20" t="s">
        <v>18</v>
      </c>
      <c r="BM7" s="20" t="s">
        <v>842</v>
      </c>
      <c r="BN7" s="20" t="s">
        <v>18</v>
      </c>
      <c r="BO7" s="20" t="s">
        <v>18</v>
      </c>
      <c r="BP7" s="20" t="s">
        <v>18</v>
      </c>
      <c r="BQ7" s="20" t="s">
        <v>18</v>
      </c>
      <c r="BR7" s="20" t="s">
        <v>842</v>
      </c>
      <c r="BS7" s="20" t="s">
        <v>18</v>
      </c>
      <c r="BT7" s="131" t="s">
        <v>1077</v>
      </c>
      <c r="BU7" s="99" t="s">
        <v>102</v>
      </c>
      <c r="BV7" s="99" t="s">
        <v>102</v>
      </c>
      <c r="BW7" s="99" t="s">
        <v>102</v>
      </c>
      <c r="BX7" s="99" t="s">
        <v>102</v>
      </c>
      <c r="BY7" s="99" t="s">
        <v>102</v>
      </c>
      <c r="BZ7" s="99" t="s">
        <v>102</v>
      </c>
      <c r="CA7" s="99" t="s">
        <v>102</v>
      </c>
      <c r="CB7" s="59" t="s">
        <v>751</v>
      </c>
      <c r="CC7" s="99" t="s">
        <v>102</v>
      </c>
      <c r="CD7" s="99" t="s">
        <v>102</v>
      </c>
      <c r="CE7" s="99" t="s">
        <v>102</v>
      </c>
      <c r="CF7" s="99" t="s">
        <v>102</v>
      </c>
      <c r="CG7" s="99" t="s">
        <v>102</v>
      </c>
      <c r="CH7" s="99" t="s">
        <v>102</v>
      </c>
      <c r="CI7" s="132" t="s">
        <v>787</v>
      </c>
      <c r="CJ7" s="20" t="s">
        <v>18</v>
      </c>
      <c r="CK7" s="20" t="s">
        <v>18</v>
      </c>
      <c r="CL7" s="20" t="s">
        <v>18</v>
      </c>
      <c r="CM7" s="20" t="s">
        <v>18</v>
      </c>
      <c r="CN7" s="147" t="s">
        <v>252</v>
      </c>
      <c r="CO7" s="147" t="s">
        <v>252</v>
      </c>
      <c r="CP7" s="210" t="s">
        <v>252</v>
      </c>
      <c r="CQ7" s="211" t="s">
        <v>1137</v>
      </c>
      <c r="CR7" s="211" t="s">
        <v>1137</v>
      </c>
      <c r="CS7" s="210" t="s">
        <v>1138</v>
      </c>
      <c r="CT7" s="153" t="s">
        <v>1139</v>
      </c>
      <c r="CU7" s="210" t="s">
        <v>252</v>
      </c>
      <c r="CV7" s="210" t="s">
        <v>252</v>
      </c>
      <c r="CW7" s="210" t="s">
        <v>1140</v>
      </c>
      <c r="CX7" s="213" t="s">
        <v>1141</v>
      </c>
      <c r="CY7" s="104" t="s">
        <v>855</v>
      </c>
      <c r="CZ7" s="239" t="s">
        <v>1142</v>
      </c>
      <c r="DA7" s="21" t="s">
        <v>961</v>
      </c>
      <c r="DB7" s="21" t="s">
        <v>961</v>
      </c>
      <c r="DC7" s="21" t="s">
        <v>961</v>
      </c>
      <c r="DD7" s="248" t="s">
        <v>957</v>
      </c>
      <c r="DE7" s="248" t="s">
        <v>957</v>
      </c>
      <c r="DF7" s="248" t="s">
        <v>957</v>
      </c>
      <c r="DG7" s="104" t="s">
        <v>1143</v>
      </c>
      <c r="DH7" s="104" t="s">
        <v>1143</v>
      </c>
      <c r="DI7" s="104" t="s">
        <v>1143</v>
      </c>
      <c r="DJ7" s="38" t="s">
        <v>1032</v>
      </c>
      <c r="DK7" s="36" t="s">
        <v>1144</v>
      </c>
      <c r="DL7" s="25" t="s">
        <v>1144</v>
      </c>
      <c r="DM7" s="13" t="s">
        <v>1032</v>
      </c>
      <c r="DN7" s="13" t="s">
        <v>1032</v>
      </c>
      <c r="DO7" s="259" t="s">
        <v>1145</v>
      </c>
      <c r="DP7" s="259" t="s">
        <v>1145</v>
      </c>
      <c r="DQ7" s="259" t="s">
        <v>1146</v>
      </c>
      <c r="DR7" s="114" t="s">
        <v>868</v>
      </c>
      <c r="DS7" s="154" t="s">
        <v>1147</v>
      </c>
      <c r="DT7" s="114" t="s">
        <v>868</v>
      </c>
      <c r="DU7" s="133" t="s">
        <v>751</v>
      </c>
      <c r="DV7" s="213" t="s">
        <v>1148</v>
      </c>
      <c r="DW7" s="213" t="s">
        <v>1149</v>
      </c>
      <c r="DX7" s="36" t="s">
        <v>874</v>
      </c>
      <c r="DY7" s="147" t="s">
        <v>1150</v>
      </c>
      <c r="DZ7" s="213" t="s">
        <v>1151</v>
      </c>
      <c r="EA7" s="284" t="s">
        <v>1152</v>
      </c>
      <c r="EB7" s="249" t="s">
        <v>1153</v>
      </c>
      <c r="EC7" s="249" t="s">
        <v>1154</v>
      </c>
      <c r="ED7" s="113" t="s">
        <v>1155</v>
      </c>
      <c r="EE7" s="113" t="s">
        <v>874</v>
      </c>
      <c r="EF7" s="115" t="s">
        <v>18</v>
      </c>
      <c r="EG7" s="115" t="s">
        <v>18</v>
      </c>
      <c r="EH7" s="113" t="s">
        <v>874</v>
      </c>
      <c r="EI7" s="36" t="s">
        <v>875</v>
      </c>
      <c r="EJ7" s="36" t="s">
        <v>875</v>
      </c>
      <c r="EK7" s="36" t="s">
        <v>877</v>
      </c>
      <c r="EL7" s="36" t="s">
        <v>877</v>
      </c>
      <c r="EM7" s="36" t="s">
        <v>877</v>
      </c>
      <c r="EN7" s="36" t="s">
        <v>877</v>
      </c>
      <c r="EO7" s="36" t="s">
        <v>877</v>
      </c>
      <c r="EP7" s="292" t="s">
        <v>879</v>
      </c>
      <c r="EQ7" s="292" t="s">
        <v>146</v>
      </c>
      <c r="ER7" s="292" t="s">
        <v>146</v>
      </c>
      <c r="ES7" s="292" t="s">
        <v>146</v>
      </c>
      <c r="ET7" s="292" t="s">
        <v>146</v>
      </c>
      <c r="EU7" s="292" t="s">
        <v>1156</v>
      </c>
      <c r="EV7" s="36" t="s">
        <v>1157</v>
      </c>
      <c r="EW7" s="154" t="s">
        <v>1158</v>
      </c>
      <c r="EX7" s="292" t="s">
        <v>1159</v>
      </c>
      <c r="EY7" s="317" t="s">
        <v>1160</v>
      </c>
      <c r="EZ7" s="115" t="s">
        <v>1093</v>
      </c>
      <c r="FA7" s="115" t="s">
        <v>18</v>
      </c>
      <c r="FB7" s="115" t="s">
        <v>18</v>
      </c>
      <c r="FC7" s="250" t="s">
        <v>1161</v>
      </c>
      <c r="FD7" s="250" t="s">
        <v>1162</v>
      </c>
      <c r="FE7" s="250" t="s">
        <v>1163</v>
      </c>
      <c r="FF7" s="250" t="s">
        <v>1164</v>
      </c>
      <c r="FG7" s="154" t="s">
        <v>1165</v>
      </c>
      <c r="FH7" s="154" t="s">
        <v>1166</v>
      </c>
      <c r="FI7" s="222" t="s">
        <v>1167</v>
      </c>
      <c r="FJ7" s="250" t="s">
        <v>1168</v>
      </c>
      <c r="FK7" s="222" t="s">
        <v>891</v>
      </c>
      <c r="FL7" s="222" t="s">
        <v>891</v>
      </c>
      <c r="FM7" s="222" t="s">
        <v>891</v>
      </c>
      <c r="FN7" s="222" t="s">
        <v>891</v>
      </c>
      <c r="FO7" s="222" t="s">
        <v>891</v>
      </c>
      <c r="FP7" s="250" t="s">
        <v>1103</v>
      </c>
      <c r="FQ7" s="222" t="s">
        <v>891</v>
      </c>
      <c r="FR7" s="222" t="s">
        <v>891</v>
      </c>
      <c r="FS7" s="319" t="s">
        <v>1104</v>
      </c>
      <c r="FT7" s="222" t="s">
        <v>1169</v>
      </c>
      <c r="FU7" s="222" t="s">
        <v>1169</v>
      </c>
      <c r="FV7" s="222" t="s">
        <v>1169</v>
      </c>
      <c r="FW7" s="222" t="s">
        <v>1169</v>
      </c>
      <c r="FX7" s="222" t="s">
        <v>1170</v>
      </c>
      <c r="FY7" s="222" t="s">
        <v>1171</v>
      </c>
      <c r="FZ7" s="222" t="s">
        <v>1171</v>
      </c>
      <c r="GA7" s="222" t="s">
        <v>1171</v>
      </c>
      <c r="GB7" s="222" t="s">
        <v>1171</v>
      </c>
      <c r="GC7" s="222" t="s">
        <v>1171</v>
      </c>
      <c r="GD7" s="222" t="s">
        <v>1171</v>
      </c>
      <c r="GE7" s="36" t="s">
        <v>1171</v>
      </c>
      <c r="GF7" s="36" t="s">
        <v>1171</v>
      </c>
      <c r="GG7" s="335" t="s">
        <v>1172</v>
      </c>
      <c r="GH7" s="382" t="s">
        <v>899</v>
      </c>
      <c r="GI7" s="336" t="s">
        <v>899</v>
      </c>
      <c r="GJ7" s="387" t="s">
        <v>793</v>
      </c>
      <c r="GK7" s="335" t="s">
        <v>1173</v>
      </c>
      <c r="GL7" s="333" t="s">
        <v>1174</v>
      </c>
      <c r="GM7" s="350" t="s">
        <v>1175</v>
      </c>
      <c r="GN7" s="350" t="s">
        <v>1175</v>
      </c>
      <c r="GO7" s="350" t="s">
        <v>1175</v>
      </c>
      <c r="GP7" s="389" t="s">
        <v>802</v>
      </c>
      <c r="GQ7" s="350" t="s">
        <v>1175</v>
      </c>
      <c r="GR7" s="350" t="s">
        <v>1175</v>
      </c>
      <c r="GS7" s="402" t="s">
        <v>1176</v>
      </c>
      <c r="GT7" s="116" t="s">
        <v>18</v>
      </c>
      <c r="GU7" s="116" t="s">
        <v>18</v>
      </c>
      <c r="GV7" s="350" t="s">
        <v>1175</v>
      </c>
      <c r="GW7" s="36" t="s">
        <v>804</v>
      </c>
      <c r="GX7" s="36" t="s">
        <v>907</v>
      </c>
      <c r="GY7" s="36" t="s">
        <v>907</v>
      </c>
      <c r="GZ7" s="36" t="s">
        <v>909</v>
      </c>
      <c r="HA7" s="36" t="s">
        <v>909</v>
      </c>
      <c r="HB7" s="221" t="s">
        <v>189</v>
      </c>
      <c r="HC7" s="644" t="s">
        <v>807</v>
      </c>
      <c r="HD7" s="221" t="s">
        <v>189</v>
      </c>
      <c r="HE7" s="644" t="s">
        <v>807</v>
      </c>
      <c r="HF7" s="644" t="s">
        <v>807</v>
      </c>
      <c r="HG7" s="221" t="s">
        <v>1177</v>
      </c>
      <c r="HH7" s="36" t="s">
        <v>909</v>
      </c>
      <c r="HI7" s="36" t="s">
        <v>909</v>
      </c>
      <c r="HJ7" s="650" t="s">
        <v>1178</v>
      </c>
      <c r="HK7" s="351" t="s">
        <v>1179</v>
      </c>
      <c r="HL7" s="36" t="s">
        <v>909</v>
      </c>
      <c r="HM7" s="36" t="s">
        <v>909</v>
      </c>
      <c r="HN7" s="36" t="s">
        <v>909</v>
      </c>
      <c r="HO7" s="36" t="s">
        <v>909</v>
      </c>
      <c r="HP7" s="36" t="s">
        <v>909</v>
      </c>
      <c r="HQ7" s="642" t="s">
        <v>1180</v>
      </c>
      <c r="HR7" s="36" t="s">
        <v>909</v>
      </c>
      <c r="HS7" s="653" t="s">
        <v>1181</v>
      </c>
      <c r="HT7" s="651" t="s">
        <v>1182</v>
      </c>
      <c r="HU7" s="651" t="s">
        <v>1182</v>
      </c>
      <c r="HV7" s="391" t="s">
        <v>1183</v>
      </c>
      <c r="HW7" s="391" t="s">
        <v>1183</v>
      </c>
      <c r="HX7" s="222" t="s">
        <v>1184</v>
      </c>
      <c r="HY7" s="36" t="s">
        <v>914</v>
      </c>
      <c r="HZ7" s="36" t="s">
        <v>915</v>
      </c>
      <c r="IA7" s="398" t="s">
        <v>1185</v>
      </c>
      <c r="IB7" s="398" t="s">
        <v>1186</v>
      </c>
      <c r="IC7" s="36" t="s">
        <v>915</v>
      </c>
      <c r="ID7" s="36" t="s">
        <v>915</v>
      </c>
      <c r="IE7" s="116" t="s">
        <v>18</v>
      </c>
      <c r="IF7" s="36" t="s">
        <v>915</v>
      </c>
      <c r="IG7" s="36" t="s">
        <v>915</v>
      </c>
      <c r="IH7" s="36" t="s">
        <v>915</v>
      </c>
      <c r="II7" s="651" t="s">
        <v>1187</v>
      </c>
      <c r="IJ7" s="36" t="s">
        <v>1188</v>
      </c>
      <c r="IK7" s="36" t="s">
        <v>1188</v>
      </c>
      <c r="IL7" s="651" t="s">
        <v>1189</v>
      </c>
      <c r="IM7" s="651" t="s">
        <v>1190</v>
      </c>
      <c r="IN7" s="651" t="s">
        <v>1190</v>
      </c>
      <c r="IO7" s="715" t="s">
        <v>1191</v>
      </c>
      <c r="IP7" s="651" t="s">
        <v>1190</v>
      </c>
      <c r="IQ7" s="387" t="s">
        <v>1192</v>
      </c>
      <c r="IR7" s="370" t="s">
        <v>1118</v>
      </c>
      <c r="IS7" s="387" t="s">
        <v>1192</v>
      </c>
      <c r="IT7" s="387" t="s">
        <v>1192</v>
      </c>
      <c r="IU7" s="297" t="s">
        <v>1193</v>
      </c>
      <c r="IV7" s="387" t="s">
        <v>1192</v>
      </c>
      <c r="IW7" s="387" t="s">
        <v>1192</v>
      </c>
      <c r="IX7" s="36" t="s">
        <v>926</v>
      </c>
      <c r="IY7" s="297" t="s">
        <v>923</v>
      </c>
      <c r="IZ7" s="751" t="s">
        <v>1194</v>
      </c>
      <c r="JA7" s="751" t="s">
        <v>1194</v>
      </c>
      <c r="JB7" s="751" t="s">
        <v>1194</v>
      </c>
      <c r="JC7" s="751" t="s">
        <v>1194</v>
      </c>
      <c r="JD7" s="36" t="s">
        <v>926</v>
      </c>
      <c r="JE7" s="36" t="s">
        <v>1195</v>
      </c>
      <c r="JF7" s="370" t="s">
        <v>1120</v>
      </c>
      <c r="JG7" s="392" t="s">
        <v>1196</v>
      </c>
      <c r="JH7" s="36" t="s">
        <v>927</v>
      </c>
      <c r="JI7" s="36" t="s">
        <v>927</v>
      </c>
      <c r="JJ7" s="36" t="s">
        <v>927</v>
      </c>
      <c r="JK7" s="222" t="s">
        <v>1197</v>
      </c>
      <c r="JL7" s="95" t="s">
        <v>928</v>
      </c>
      <c r="JM7" s="95" t="s">
        <v>928</v>
      </c>
      <c r="JN7" s="95" t="s">
        <v>928</v>
      </c>
      <c r="JO7" s="95" t="s">
        <v>928</v>
      </c>
      <c r="JP7" s="95" t="s">
        <v>928</v>
      </c>
      <c r="JQ7" s="95" t="s">
        <v>928</v>
      </c>
      <c r="JR7" s="95" t="s">
        <v>928</v>
      </c>
      <c r="JS7" s="330" t="s">
        <v>1122</v>
      </c>
      <c r="JT7" s="95" t="s">
        <v>928</v>
      </c>
      <c r="JU7" s="95" t="s">
        <v>928</v>
      </c>
      <c r="JV7" s="95" t="s">
        <v>928</v>
      </c>
      <c r="JW7" s="95" t="s">
        <v>928</v>
      </c>
      <c r="JX7" s="95" t="s">
        <v>928</v>
      </c>
      <c r="JY7" s="95" t="s">
        <v>928</v>
      </c>
      <c r="JZ7" s="95" t="s">
        <v>928</v>
      </c>
      <c r="KA7" s="222" t="s">
        <v>1198</v>
      </c>
      <c r="KB7" s="222" t="s">
        <v>1198</v>
      </c>
      <c r="KC7" s="222" t="s">
        <v>1198</v>
      </c>
      <c r="KD7" s="222" t="s">
        <v>1198</v>
      </c>
      <c r="KE7" s="222" t="s">
        <v>1198</v>
      </c>
      <c r="KF7" s="330" t="s">
        <v>1125</v>
      </c>
      <c r="KG7" s="222" t="s">
        <v>1199</v>
      </c>
      <c r="KH7" s="222" t="s">
        <v>1199</v>
      </c>
      <c r="KI7" s="222" t="s">
        <v>1199</v>
      </c>
      <c r="KJ7" s="222" t="s">
        <v>1200</v>
      </c>
      <c r="KK7" s="222" t="s">
        <v>1200</v>
      </c>
      <c r="KL7" s="222" t="s">
        <v>1200</v>
      </c>
      <c r="KM7" s="222" t="s">
        <v>1200</v>
      </c>
      <c r="KN7" s="222" t="s">
        <v>1200</v>
      </c>
      <c r="KO7" s="222" t="s">
        <v>1200</v>
      </c>
      <c r="KP7" s="783" t="s">
        <v>1201</v>
      </c>
      <c r="KQ7" s="784" t="s">
        <v>1202</v>
      </c>
      <c r="KR7" s="784" t="s">
        <v>1202</v>
      </c>
      <c r="KS7" s="222" t="s">
        <v>1200</v>
      </c>
      <c r="KT7" s="222" t="s">
        <v>1200</v>
      </c>
      <c r="KU7" s="222" t="s">
        <v>1200</v>
      </c>
      <c r="KV7" s="222" t="s">
        <v>1200</v>
      </c>
      <c r="KW7" s="222"/>
      <c r="KX7" s="222"/>
      <c r="LE7" s="221" t="s">
        <v>1203</v>
      </c>
      <c r="LM7" s="717" t="s">
        <v>18</v>
      </c>
      <c r="LN7" s="330" t="s">
        <v>936</v>
      </c>
      <c r="LO7" s="717" t="s">
        <v>18</v>
      </c>
      <c r="LP7" s="717" t="s">
        <v>18</v>
      </c>
      <c r="LQ7" s="717" t="s">
        <v>18</v>
      </c>
      <c r="LR7" s="717" t="s">
        <v>18</v>
      </c>
      <c r="LS7" s="330" t="s">
        <v>937</v>
      </c>
    </row>
    <row r="8" spans="1:364" s="95" customFormat="1" ht="138" customHeight="1">
      <c r="A8" s="117" t="s">
        <v>28</v>
      </c>
      <c r="B8" s="90" t="s">
        <v>1204</v>
      </c>
      <c r="C8" s="90" t="s">
        <v>1204</v>
      </c>
      <c r="D8" s="118" t="s">
        <v>842</v>
      </c>
      <c r="E8" s="118" t="s">
        <v>842</v>
      </c>
      <c r="F8" s="119" t="s">
        <v>1205</v>
      </c>
      <c r="G8" s="90" t="s">
        <v>837</v>
      </c>
      <c r="H8" s="90" t="s">
        <v>837</v>
      </c>
      <c r="I8" s="90" t="s">
        <v>837</v>
      </c>
      <c r="J8" s="119" t="s">
        <v>1206</v>
      </c>
      <c r="K8" s="90" t="s">
        <v>838</v>
      </c>
      <c r="L8" s="90" t="s">
        <v>838</v>
      </c>
      <c r="M8" s="90" t="s">
        <v>838</v>
      </c>
      <c r="N8" s="90" t="s">
        <v>838</v>
      </c>
      <c r="O8" s="90" t="s">
        <v>838</v>
      </c>
      <c r="P8" s="90" t="s">
        <v>838</v>
      </c>
      <c r="Q8" s="118" t="s">
        <v>842</v>
      </c>
      <c r="R8" s="118" t="s">
        <v>842</v>
      </c>
      <c r="S8" s="90" t="s">
        <v>838</v>
      </c>
      <c r="T8" s="90" t="s">
        <v>838</v>
      </c>
      <c r="U8" s="90" t="s">
        <v>838</v>
      </c>
      <c r="V8" s="90" t="s">
        <v>838</v>
      </c>
      <c r="W8" s="90" t="s">
        <v>838</v>
      </c>
      <c r="X8" s="90" t="s">
        <v>838</v>
      </c>
      <c r="Y8" s="90" t="s">
        <v>838</v>
      </c>
      <c r="Z8" s="90" t="s">
        <v>838</v>
      </c>
      <c r="AA8" s="119" t="s">
        <v>1207</v>
      </c>
      <c r="AB8" s="119" t="s">
        <v>1207</v>
      </c>
      <c r="AC8" s="119" t="s">
        <v>1207</v>
      </c>
      <c r="AD8" s="119" t="s">
        <v>1207</v>
      </c>
      <c r="AE8" s="119" t="s">
        <v>1207</v>
      </c>
      <c r="AF8" s="119" t="s">
        <v>1207</v>
      </c>
      <c r="AG8" s="119" t="s">
        <v>1207</v>
      </c>
      <c r="AH8" s="119" t="s">
        <v>1207</v>
      </c>
      <c r="AI8" s="119" t="s">
        <v>1207</v>
      </c>
      <c r="AJ8" s="119" t="s">
        <v>1207</v>
      </c>
      <c r="AK8" s="90" t="s">
        <v>1130</v>
      </c>
      <c r="AL8" s="90" t="s">
        <v>1130</v>
      </c>
      <c r="AM8" s="120" t="s">
        <v>1208</v>
      </c>
      <c r="AN8" s="120" t="s">
        <v>1209</v>
      </c>
      <c r="AO8" s="118" t="s">
        <v>18</v>
      </c>
      <c r="AP8" s="118" t="s">
        <v>18</v>
      </c>
      <c r="AQ8" s="118" t="s">
        <v>18</v>
      </c>
      <c r="AR8" s="90" t="s">
        <v>1130</v>
      </c>
      <c r="AS8" s="90" t="s">
        <v>1130</v>
      </c>
      <c r="AT8" s="90" t="s">
        <v>1130</v>
      </c>
      <c r="AU8" s="90" t="s">
        <v>1130</v>
      </c>
      <c r="AV8" s="90" t="s">
        <v>1130</v>
      </c>
      <c r="AW8" s="90" t="s">
        <v>1130</v>
      </c>
      <c r="AX8" s="121" t="s">
        <v>20</v>
      </c>
      <c r="AY8" s="121" t="s">
        <v>20</v>
      </c>
      <c r="AZ8" s="122" t="s">
        <v>1210</v>
      </c>
      <c r="BA8" s="123" t="s">
        <v>1211</v>
      </c>
      <c r="BB8" s="124" t="s">
        <v>1212</v>
      </c>
      <c r="BC8" s="119" t="s">
        <v>1213</v>
      </c>
      <c r="BD8" s="119" t="s">
        <v>1213</v>
      </c>
      <c r="BE8" s="119" t="s">
        <v>847</v>
      </c>
      <c r="BF8" s="119" t="s">
        <v>847</v>
      </c>
      <c r="BG8" s="119" t="s">
        <v>1214</v>
      </c>
      <c r="BH8" s="119" t="s">
        <v>1213</v>
      </c>
      <c r="BI8" s="125" t="s">
        <v>1215</v>
      </c>
      <c r="BJ8" s="125" t="s">
        <v>1215</v>
      </c>
      <c r="BK8" s="125" t="s">
        <v>1215</v>
      </c>
      <c r="BL8" s="125" t="s">
        <v>1215</v>
      </c>
      <c r="BM8" s="126" t="s">
        <v>842</v>
      </c>
      <c r="BN8" s="36" t="s">
        <v>1216</v>
      </c>
      <c r="BO8" s="36" t="s">
        <v>1216</v>
      </c>
      <c r="BP8" s="36" t="s">
        <v>1217</v>
      </c>
      <c r="BQ8" s="36" t="s">
        <v>1217</v>
      </c>
      <c r="BR8" s="126" t="s">
        <v>842</v>
      </c>
      <c r="BS8" s="36" t="s">
        <v>1217</v>
      </c>
      <c r="BT8" s="36" t="s">
        <v>1217</v>
      </c>
      <c r="BU8" s="36" t="s">
        <v>1217</v>
      </c>
      <c r="BV8" s="36" t="s">
        <v>1217</v>
      </c>
      <c r="BW8" s="95" t="s">
        <v>102</v>
      </c>
      <c r="BX8" s="95" t="s">
        <v>102</v>
      </c>
      <c r="BY8" s="95" t="s">
        <v>1218</v>
      </c>
      <c r="BZ8" s="124" t="s">
        <v>102</v>
      </c>
      <c r="CA8" s="36" t="s">
        <v>1219</v>
      </c>
      <c r="CB8" s="59" t="s">
        <v>751</v>
      </c>
      <c r="CC8" s="95" t="s">
        <v>102</v>
      </c>
      <c r="CD8" s="95" t="s">
        <v>102</v>
      </c>
      <c r="CE8" s="95" t="s">
        <v>102</v>
      </c>
      <c r="CF8" s="95" t="s">
        <v>102</v>
      </c>
      <c r="CG8" s="21" t="s">
        <v>27</v>
      </c>
      <c r="CH8" s="21" t="s">
        <v>27</v>
      </c>
      <c r="CI8" s="127" t="s">
        <v>787</v>
      </c>
      <c r="CJ8" s="31" t="s">
        <v>1220</v>
      </c>
      <c r="CK8" s="21" t="s">
        <v>855</v>
      </c>
      <c r="CL8" s="36" t="s">
        <v>1221</v>
      </c>
      <c r="CM8" s="36" t="s">
        <v>1221</v>
      </c>
      <c r="CN8" s="36" t="s">
        <v>1221</v>
      </c>
      <c r="CO8" s="107" t="s">
        <v>1221</v>
      </c>
      <c r="CP8" s="36" t="s">
        <v>1222</v>
      </c>
      <c r="CQ8" s="212" t="s">
        <v>1222</v>
      </c>
      <c r="CR8" s="231" t="s">
        <v>1223</v>
      </c>
      <c r="CS8" s="213" t="s">
        <v>1224</v>
      </c>
      <c r="CT8" s="148" t="s">
        <v>1225</v>
      </c>
      <c r="CU8" s="36" t="s">
        <v>793</v>
      </c>
      <c r="CV8" s="153" t="s">
        <v>1226</v>
      </c>
      <c r="CW8" s="104" t="s">
        <v>961</v>
      </c>
      <c r="CX8" s="148" t="s">
        <v>1227</v>
      </c>
      <c r="CY8" s="148" t="s">
        <v>1227</v>
      </c>
      <c r="CZ8" s="148" t="s">
        <v>1227</v>
      </c>
      <c r="DA8" s="148" t="s">
        <v>1227</v>
      </c>
      <c r="DB8" s="148" t="s">
        <v>1227</v>
      </c>
      <c r="DC8" s="148" t="s">
        <v>1227</v>
      </c>
      <c r="DD8" s="242" t="s">
        <v>1032</v>
      </c>
      <c r="DE8" s="213" t="s">
        <v>1228</v>
      </c>
      <c r="DF8" s="213" t="s">
        <v>1229</v>
      </c>
      <c r="DG8" s="213" t="s">
        <v>1230</v>
      </c>
      <c r="DH8" s="213" t="s">
        <v>1231</v>
      </c>
      <c r="DI8" s="213" t="s">
        <v>1232</v>
      </c>
      <c r="DJ8" s="213" t="s">
        <v>1233</v>
      </c>
      <c r="DK8" s="258" t="s">
        <v>1234</v>
      </c>
      <c r="DL8" s="36" t="s">
        <v>1234</v>
      </c>
      <c r="DM8" s="36" t="s">
        <v>1235</v>
      </c>
      <c r="DN8" s="36" t="s">
        <v>874</v>
      </c>
      <c r="DO8" s="213" t="s">
        <v>1236</v>
      </c>
      <c r="DP8" s="213" t="s">
        <v>1237</v>
      </c>
      <c r="DQ8" s="213" t="s">
        <v>1238</v>
      </c>
      <c r="DR8" s="95" t="s">
        <v>868</v>
      </c>
      <c r="DS8" s="95" t="s">
        <v>868</v>
      </c>
      <c r="DT8" s="213" t="s">
        <v>1239</v>
      </c>
      <c r="DU8" s="115" t="s">
        <v>751</v>
      </c>
      <c r="DV8" s="213" t="s">
        <v>1240</v>
      </c>
      <c r="DW8" s="213" t="s">
        <v>1241</v>
      </c>
      <c r="DX8" s="213" t="s">
        <v>1242</v>
      </c>
      <c r="DY8" s="213" t="s">
        <v>1243</v>
      </c>
      <c r="DZ8" s="213" t="s">
        <v>1244</v>
      </c>
      <c r="EA8" s="36" t="s">
        <v>1245</v>
      </c>
      <c r="EB8" s="213" t="s">
        <v>1246</v>
      </c>
      <c r="EC8" s="314" t="s">
        <v>1247</v>
      </c>
      <c r="ED8" s="154" t="s">
        <v>1248</v>
      </c>
      <c r="EE8" s="154" t="s">
        <v>1249</v>
      </c>
      <c r="EF8" s="36" t="s">
        <v>1250</v>
      </c>
      <c r="EG8" s="36" t="s">
        <v>1250</v>
      </c>
      <c r="EH8" s="36" t="s">
        <v>1251</v>
      </c>
      <c r="EI8" s="36" t="s">
        <v>1252</v>
      </c>
      <c r="EJ8" s="36" t="s">
        <v>1253</v>
      </c>
      <c r="EK8" s="36" t="s">
        <v>877</v>
      </c>
      <c r="EL8" s="36" t="s">
        <v>877</v>
      </c>
      <c r="EM8" s="36" t="s">
        <v>877</v>
      </c>
      <c r="EN8" s="36" t="s">
        <v>877</v>
      </c>
      <c r="EO8" s="250" t="s">
        <v>1254</v>
      </c>
      <c r="EP8" s="115" t="s">
        <v>18</v>
      </c>
      <c r="EQ8" s="292" t="s">
        <v>1037</v>
      </c>
      <c r="ER8" s="292" t="s">
        <v>146</v>
      </c>
      <c r="ES8" s="292" t="s">
        <v>146</v>
      </c>
      <c r="ET8" s="292" t="s">
        <v>1255</v>
      </c>
      <c r="EU8" s="292" t="s">
        <v>146</v>
      </c>
      <c r="EV8" s="294" t="s">
        <v>1037</v>
      </c>
      <c r="EW8" s="294" t="s">
        <v>146</v>
      </c>
      <c r="EX8" s="294" t="s">
        <v>1256</v>
      </c>
      <c r="EY8" s="294" t="s">
        <v>146</v>
      </c>
      <c r="EZ8" s="115" t="s">
        <v>1093</v>
      </c>
      <c r="FA8" s="292" t="s">
        <v>1257</v>
      </c>
      <c r="FB8" s="291" t="s">
        <v>1258</v>
      </c>
      <c r="FC8" s="291" t="s">
        <v>1259</v>
      </c>
      <c r="FD8" s="291" t="s">
        <v>1260</v>
      </c>
      <c r="FE8" s="291" t="s">
        <v>1261</v>
      </c>
      <c r="FF8" s="291" t="s">
        <v>1262</v>
      </c>
      <c r="FG8" s="291" t="s">
        <v>1263</v>
      </c>
      <c r="FH8" s="291" t="s">
        <v>1264</v>
      </c>
      <c r="FI8" s="291" t="s">
        <v>1265</v>
      </c>
      <c r="FJ8" s="291" t="s">
        <v>1266</v>
      </c>
      <c r="FK8" s="291" t="s">
        <v>1267</v>
      </c>
      <c r="FL8" s="291" t="s">
        <v>1268</v>
      </c>
      <c r="FM8" s="223" t="s">
        <v>1269</v>
      </c>
      <c r="FN8" s="223" t="s">
        <v>1269</v>
      </c>
      <c r="FO8" s="223" t="s">
        <v>1270</v>
      </c>
      <c r="FP8" s="223" t="s">
        <v>1270</v>
      </c>
      <c r="FQ8" s="223"/>
      <c r="FR8" s="223" t="s">
        <v>1271</v>
      </c>
      <c r="FS8" s="319" t="s">
        <v>1104</v>
      </c>
      <c r="FT8" s="223" t="s">
        <v>1272</v>
      </c>
      <c r="FU8" s="223" t="s">
        <v>1272</v>
      </c>
      <c r="FV8" s="223" t="s">
        <v>1272</v>
      </c>
      <c r="FW8" s="222" t="s">
        <v>1272</v>
      </c>
      <c r="FX8" s="223" t="s">
        <v>1273</v>
      </c>
      <c r="FY8" s="368" t="s">
        <v>1274</v>
      </c>
      <c r="FZ8" s="380" t="s">
        <v>1274</v>
      </c>
      <c r="GA8" s="381" t="s">
        <v>1272</v>
      </c>
      <c r="GB8" s="381" t="s">
        <v>1272</v>
      </c>
      <c r="GC8" s="381" t="s">
        <v>1272</v>
      </c>
      <c r="GD8" s="381" t="s">
        <v>1272</v>
      </c>
      <c r="GE8" s="337" t="s">
        <v>899</v>
      </c>
      <c r="GF8" s="338" t="s">
        <v>899</v>
      </c>
      <c r="GG8" s="368" t="s">
        <v>1274</v>
      </c>
      <c r="GH8" s="351" t="s">
        <v>1275</v>
      </c>
      <c r="GI8" s="368" t="s">
        <v>1274</v>
      </c>
      <c r="GJ8" s="368" t="s">
        <v>1274</v>
      </c>
      <c r="GK8" s="350" t="s">
        <v>1276</v>
      </c>
      <c r="GL8" s="350" t="s">
        <v>1276</v>
      </c>
      <c r="GM8" s="350" t="s">
        <v>1276</v>
      </c>
      <c r="GN8" s="350" t="s">
        <v>1276</v>
      </c>
      <c r="GO8" s="223" t="s">
        <v>1277</v>
      </c>
      <c r="GP8" s="350" t="s">
        <v>1278</v>
      </c>
      <c r="GQ8" s="399" t="s">
        <v>1279</v>
      </c>
      <c r="GR8" s="223" t="s">
        <v>1280</v>
      </c>
      <c r="GS8" s="222" t="s">
        <v>1281</v>
      </c>
      <c r="GT8" s="223" t="s">
        <v>1280</v>
      </c>
      <c r="GU8" s="36" t="s">
        <v>1282</v>
      </c>
      <c r="GV8" s="36" t="s">
        <v>907</v>
      </c>
      <c r="GW8" s="36" t="s">
        <v>907</v>
      </c>
      <c r="GX8" s="36" t="s">
        <v>909</v>
      </c>
      <c r="GY8" s="36" t="s">
        <v>909</v>
      </c>
      <c r="GZ8" s="36" t="s">
        <v>909</v>
      </c>
      <c r="HA8" s="36" t="s">
        <v>909</v>
      </c>
      <c r="HB8" s="36" t="s">
        <v>909</v>
      </c>
      <c r="HC8" s="119" t="s">
        <v>1283</v>
      </c>
      <c r="HD8" s="119" t="s">
        <v>1283</v>
      </c>
      <c r="HE8" s="36" t="s">
        <v>1284</v>
      </c>
      <c r="HF8" s="223" t="s">
        <v>1280</v>
      </c>
      <c r="HG8" s="223" t="s">
        <v>1280</v>
      </c>
      <c r="HH8" s="223" t="s">
        <v>1280</v>
      </c>
      <c r="HI8" s="223" t="s">
        <v>1280</v>
      </c>
      <c r="HJ8" s="223" t="s">
        <v>1280</v>
      </c>
      <c r="HK8" s="350" t="s">
        <v>1285</v>
      </c>
      <c r="HL8" s="350" t="s">
        <v>1285</v>
      </c>
      <c r="HM8" s="350" t="s">
        <v>1286</v>
      </c>
      <c r="HN8" s="223" t="s">
        <v>1287</v>
      </c>
      <c r="HO8" s="223" t="s">
        <v>1287</v>
      </c>
      <c r="HP8" s="642" t="s">
        <v>1288</v>
      </c>
      <c r="HQ8" s="642" t="s">
        <v>1289</v>
      </c>
      <c r="HR8" s="391" t="s">
        <v>1183</v>
      </c>
      <c r="HS8" s="391" t="s">
        <v>1183</v>
      </c>
      <c r="HT8" s="223" t="s">
        <v>1290</v>
      </c>
      <c r="HU8" s="223" t="s">
        <v>1290</v>
      </c>
      <c r="HV8" s="223" t="s">
        <v>1291</v>
      </c>
      <c r="HW8" s="222" t="s">
        <v>1292</v>
      </c>
      <c r="HX8" s="398" t="s">
        <v>1185</v>
      </c>
      <c r="HY8" s="223" t="s">
        <v>1290</v>
      </c>
      <c r="HZ8" s="222" t="s">
        <v>1293</v>
      </c>
      <c r="IA8" s="223" t="s">
        <v>1294</v>
      </c>
      <c r="IB8" s="223" t="s">
        <v>1294</v>
      </c>
      <c r="IC8" s="223" t="s">
        <v>1294</v>
      </c>
      <c r="ID8" s="223" t="s">
        <v>1294</v>
      </c>
      <c r="IE8" s="223" t="s">
        <v>1294</v>
      </c>
      <c r="IF8" s="223" t="s">
        <v>1294</v>
      </c>
      <c r="IG8" s="398" t="s">
        <v>1186</v>
      </c>
      <c r="IH8" s="116" t="s">
        <v>18</v>
      </c>
      <c r="II8" s="116" t="s">
        <v>18</v>
      </c>
      <c r="IJ8" s="116" t="s">
        <v>18</v>
      </c>
      <c r="IK8" s="116" t="s">
        <v>18</v>
      </c>
      <c r="IL8" s="116" t="s">
        <v>18</v>
      </c>
      <c r="IM8" s="116" t="s">
        <v>18</v>
      </c>
      <c r="IN8" s="223" t="s">
        <v>1294</v>
      </c>
      <c r="IO8" s="696" t="s">
        <v>1295</v>
      </c>
      <c r="IP8" s="221" t="s">
        <v>815</v>
      </c>
      <c r="IQ8" s="221" t="s">
        <v>815</v>
      </c>
      <c r="IR8" s="116" t="s">
        <v>1118</v>
      </c>
      <c r="IS8" s="696" t="s">
        <v>1295</v>
      </c>
      <c r="IT8" s="696" t="s">
        <v>1295</v>
      </c>
      <c r="IU8" s="752" t="s">
        <v>1296</v>
      </c>
      <c r="IV8" s="696" t="s">
        <v>1297</v>
      </c>
      <c r="IW8" s="696" t="s">
        <v>1295</v>
      </c>
      <c r="IX8" s="696" t="s">
        <v>1295</v>
      </c>
      <c r="IY8" s="696" t="s">
        <v>1295</v>
      </c>
      <c r="IZ8" s="119" t="s">
        <v>1298</v>
      </c>
      <c r="JA8" s="36" t="s">
        <v>926</v>
      </c>
      <c r="JB8" s="36" t="s">
        <v>926</v>
      </c>
      <c r="JC8" s="36" t="s">
        <v>926</v>
      </c>
      <c r="JD8" s="651" t="s">
        <v>1299</v>
      </c>
      <c r="JE8" s="116" t="s">
        <v>18</v>
      </c>
      <c r="JF8" s="116" t="s">
        <v>1120</v>
      </c>
      <c r="JG8" s="36" t="s">
        <v>927</v>
      </c>
      <c r="JH8" s="36" t="s">
        <v>927</v>
      </c>
      <c r="JI8" s="36" t="s">
        <v>927</v>
      </c>
      <c r="JJ8" s="95" t="s">
        <v>928</v>
      </c>
      <c r="JK8" s="95" t="s">
        <v>928</v>
      </c>
      <c r="JL8" s="95" t="s">
        <v>928</v>
      </c>
      <c r="JM8" s="95" t="s">
        <v>928</v>
      </c>
      <c r="JN8" s="95" t="s">
        <v>928</v>
      </c>
      <c r="JO8" s="95" t="s">
        <v>928</v>
      </c>
      <c r="JP8" s="95" t="s">
        <v>928</v>
      </c>
      <c r="JQ8" s="95" t="s">
        <v>928</v>
      </c>
      <c r="JR8" s="95" t="s">
        <v>928</v>
      </c>
      <c r="JS8" s="330" t="s">
        <v>1122</v>
      </c>
      <c r="JT8" s="95" t="s">
        <v>928</v>
      </c>
      <c r="JU8" s="95" t="s">
        <v>928</v>
      </c>
      <c r="JV8" s="95" t="s">
        <v>928</v>
      </c>
      <c r="JW8" s="95" t="s">
        <v>928</v>
      </c>
      <c r="JX8" s="95" t="s">
        <v>928</v>
      </c>
      <c r="JY8" s="392" t="s">
        <v>1300</v>
      </c>
      <c r="JZ8" s="336" t="s">
        <v>1301</v>
      </c>
      <c r="KA8" s="336" t="s">
        <v>1301</v>
      </c>
      <c r="KB8" s="336" t="s">
        <v>1301</v>
      </c>
      <c r="KC8" s="336" t="s">
        <v>1301</v>
      </c>
      <c r="KD8" s="36" t="s">
        <v>1302</v>
      </c>
      <c r="KE8" s="36" t="s">
        <v>1302</v>
      </c>
      <c r="KF8" s="330" t="s">
        <v>1125</v>
      </c>
      <c r="KG8" s="146" t="s">
        <v>1303</v>
      </c>
      <c r="KH8" s="146" t="s">
        <v>1303</v>
      </c>
      <c r="KI8" s="146" t="s">
        <v>1303</v>
      </c>
      <c r="KJ8" s="146" t="s">
        <v>1303</v>
      </c>
      <c r="KK8" s="36" t="s">
        <v>1304</v>
      </c>
      <c r="KO8" s="36" t="s">
        <v>1305</v>
      </c>
      <c r="KP8" s="36" t="s">
        <v>1305</v>
      </c>
      <c r="KQ8" s="36" t="s">
        <v>1305</v>
      </c>
      <c r="KR8" s="36" t="s">
        <v>1305</v>
      </c>
      <c r="KS8" s="36" t="s">
        <v>1305</v>
      </c>
      <c r="KT8" s="36" t="s">
        <v>1305</v>
      </c>
      <c r="KU8" s="36" t="s">
        <v>1305</v>
      </c>
      <c r="KV8" s="36" t="s">
        <v>1305</v>
      </c>
      <c r="LG8" s="221" t="s">
        <v>1306</v>
      </c>
      <c r="LN8" s="330" t="s">
        <v>936</v>
      </c>
      <c r="LS8" s="330" t="s">
        <v>937</v>
      </c>
      <c r="LV8" s="255"/>
      <c r="MZ8" s="134"/>
    </row>
    <row r="9" spans="1:364" ht="51.75" customHeight="1">
      <c r="CJ9" s="25" t="s">
        <v>1307</v>
      </c>
      <c r="FJ9" s="36"/>
      <c r="FX9" s="334"/>
      <c r="FY9" s="334"/>
      <c r="GA9" s="334"/>
      <c r="GB9" s="334"/>
      <c r="GG9" s="334"/>
      <c r="GH9" s="334"/>
      <c r="GI9" s="334"/>
      <c r="IM9" s="297"/>
      <c r="IN9" s="297"/>
      <c r="IO9" s="297"/>
      <c r="IP9" s="297"/>
      <c r="IQ9" s="297"/>
    </row>
    <row r="13" spans="1:364" ht="13.5" customHeight="1">
      <c r="EI13" s="36"/>
    </row>
    <row r="14" spans="1:364" ht="13.5" customHeight="1">
      <c r="AX14" s="32"/>
      <c r="AY14" s="32"/>
      <c r="AZ14" s="32"/>
      <c r="BA14" s="32"/>
      <c r="BB14" s="32"/>
      <c r="IA14" s="681" t="s">
        <v>1308</v>
      </c>
    </row>
  </sheetData>
  <autoFilter ref="A2:AG9" xr:uid="{1CE8003C-4BF2-4E23-86CE-BE3BC7D8002A}"/>
  <phoneticPr fontId="10" type="noConversion"/>
  <conditionalFormatting sqref="B1:EF2 EG1:MY1 EL2:MW2">
    <cfRule type="containsText" dxfId="33" priority="3" operator="containsText" text="Jess">
      <formula>NOT(ISERROR(SEARCH("Jess",B1)))</formula>
    </cfRule>
  </conditionalFormatting>
  <conditionalFormatting sqref="EG2:EK2">
    <cfRule type="containsText" dxfId="32" priority="2" operator="containsText" text="Jess">
      <formula>NOT(ISERROR(SEARCH("Jess",EG2)))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4BDE-3009-A143-BF8B-E408B00C2356}">
  <dimension ref="A1:NW14"/>
  <sheetViews>
    <sheetView tabSelected="1" zoomScale="130" zoomScaleNormal="130" workbookViewId="0">
      <pane xSplit="1" ySplit="2" topLeftCell="JF5" activePane="bottomRight" state="frozen"/>
      <selection pane="bottomRight" activeCell="JI8" sqref="JI8"/>
      <selection pane="bottomLeft" activeCell="L4" sqref="L4"/>
      <selection pane="topRight" activeCell="L4" sqref="L4"/>
    </sheetView>
  </sheetViews>
  <sheetFormatPr defaultColWidth="9" defaultRowHeight="13.5" customHeight="1"/>
  <cols>
    <col min="1" max="1" width="8.875" style="94" customWidth="1"/>
    <col min="2" max="26" width="12.875" style="94" hidden="1" customWidth="1"/>
    <col min="27" max="27" width="17.5" style="94" hidden="1" customWidth="1"/>
    <col min="28" max="46" width="12.875" style="94" hidden="1" customWidth="1"/>
    <col min="47" max="47" width="14.875" style="94" hidden="1" customWidth="1"/>
    <col min="48" max="86" width="12.875" style="94" hidden="1" customWidth="1"/>
    <col min="87" max="87" width="11.25" style="94" hidden="1" customWidth="1"/>
    <col min="88" max="91" width="12.875" style="94" hidden="1" customWidth="1"/>
    <col min="92" max="92" width="12.625" style="215" hidden="1" customWidth="1"/>
    <col min="93" max="132" width="12.625" style="94" hidden="1" customWidth="1"/>
    <col min="133" max="133" width="12.625" style="111" hidden="1" customWidth="1"/>
    <col min="134" max="135" width="12.625" style="94" hidden="1" customWidth="1"/>
    <col min="136" max="136" width="12.625" style="111" hidden="1" customWidth="1"/>
    <col min="137" max="143" width="12.625" style="94" hidden="1" customWidth="1"/>
    <col min="144" max="144" width="12.625" style="215" hidden="1" customWidth="1"/>
    <col min="145" max="154" width="12.625" style="94" hidden="1" customWidth="1"/>
    <col min="155" max="155" width="12.625" style="111" hidden="1" customWidth="1"/>
    <col min="156" max="181" width="12.625" style="94" hidden="1" customWidth="1"/>
    <col min="182" max="182" width="12.625" style="111" hidden="1" customWidth="1"/>
    <col min="183" max="220" width="12.625" style="94" hidden="1" customWidth="1"/>
    <col min="221" max="221" width="12.625" style="111" hidden="1" customWidth="1"/>
    <col min="222" max="242" width="12.625" style="94" customWidth="1"/>
    <col min="243" max="243" width="14.125" style="94" customWidth="1"/>
    <col min="244" max="244" width="15.625" style="94" customWidth="1"/>
    <col min="245" max="245" width="16.5" style="111" customWidth="1"/>
    <col min="246" max="246" width="14.875" style="94" customWidth="1"/>
    <col min="247" max="247" width="12.625" style="94" customWidth="1"/>
    <col min="248" max="248" width="15" style="94" customWidth="1"/>
    <col min="249" max="249" width="14.375" style="94" customWidth="1"/>
    <col min="250" max="291" width="12.625" style="94" customWidth="1"/>
    <col min="292" max="357" width="12.625" style="2" customWidth="1"/>
    <col min="358" max="16380" width="9" style="2"/>
    <col min="16381" max="16383" width="9" style="2" bestFit="1" customWidth="1"/>
    <col min="16384" max="16384" width="9" style="2"/>
  </cols>
  <sheetData>
    <row r="1" spans="1:387" s="10" customFormat="1">
      <c r="A1" s="216"/>
      <c r="B1" s="92">
        <v>45929</v>
      </c>
      <c r="C1" s="92">
        <f>WORKDAY(B1,1)</f>
        <v>45930</v>
      </c>
      <c r="D1" s="92">
        <f t="shared" ref="D1:E1" si="0">WORKDAY(C1,1)</f>
        <v>45931</v>
      </c>
      <c r="E1" s="92">
        <f t="shared" si="0"/>
        <v>45932</v>
      </c>
      <c r="F1" s="92">
        <f>WORKDAY(E1,1)</f>
        <v>45933</v>
      </c>
      <c r="G1" s="92">
        <f>WORKDAY(F1,1)</f>
        <v>45936</v>
      </c>
      <c r="H1" s="92">
        <f t="shared" ref="H1:BS1" si="1">WORKDAY(G1,1)</f>
        <v>45937</v>
      </c>
      <c r="I1" s="92">
        <f t="shared" si="1"/>
        <v>45938</v>
      </c>
      <c r="J1" s="92">
        <f t="shared" si="1"/>
        <v>45939</v>
      </c>
      <c r="K1" s="92">
        <f t="shared" si="1"/>
        <v>45940</v>
      </c>
      <c r="L1" s="92">
        <f t="shared" si="1"/>
        <v>45943</v>
      </c>
      <c r="M1" s="92">
        <f t="shared" si="1"/>
        <v>45944</v>
      </c>
      <c r="N1" s="92">
        <f t="shared" si="1"/>
        <v>45945</v>
      </c>
      <c r="O1" s="92">
        <f t="shared" si="1"/>
        <v>45946</v>
      </c>
      <c r="P1" s="92">
        <f t="shared" si="1"/>
        <v>45947</v>
      </c>
      <c r="Q1" s="92">
        <f t="shared" si="1"/>
        <v>45950</v>
      </c>
      <c r="R1" s="92">
        <f t="shared" si="1"/>
        <v>45951</v>
      </c>
      <c r="S1" s="92">
        <f t="shared" si="1"/>
        <v>45952</v>
      </c>
      <c r="T1" s="92">
        <f t="shared" si="1"/>
        <v>45953</v>
      </c>
      <c r="U1" s="92">
        <f t="shared" si="1"/>
        <v>45954</v>
      </c>
      <c r="V1" s="92">
        <f t="shared" si="1"/>
        <v>45957</v>
      </c>
      <c r="W1" s="92">
        <f t="shared" si="1"/>
        <v>45958</v>
      </c>
      <c r="X1" s="92">
        <f t="shared" si="1"/>
        <v>45959</v>
      </c>
      <c r="Y1" s="92">
        <f t="shared" si="1"/>
        <v>45960</v>
      </c>
      <c r="Z1" s="92">
        <f t="shared" si="1"/>
        <v>45961</v>
      </c>
      <c r="AA1" s="92">
        <f t="shared" si="1"/>
        <v>45964</v>
      </c>
      <c r="AB1" s="92">
        <f t="shared" si="1"/>
        <v>45965</v>
      </c>
      <c r="AC1" s="92">
        <f t="shared" si="1"/>
        <v>45966</v>
      </c>
      <c r="AD1" s="92">
        <f t="shared" si="1"/>
        <v>45967</v>
      </c>
      <c r="AE1" s="92">
        <f t="shared" si="1"/>
        <v>45968</v>
      </c>
      <c r="AF1" s="92">
        <f t="shared" si="1"/>
        <v>45971</v>
      </c>
      <c r="AG1" s="92">
        <f t="shared" si="1"/>
        <v>45972</v>
      </c>
      <c r="AH1" s="92">
        <f t="shared" si="1"/>
        <v>45973</v>
      </c>
      <c r="AI1" s="92">
        <f t="shared" si="1"/>
        <v>45974</v>
      </c>
      <c r="AJ1" s="92">
        <f t="shared" si="1"/>
        <v>45975</v>
      </c>
      <c r="AK1" s="92">
        <f t="shared" si="1"/>
        <v>45978</v>
      </c>
      <c r="AL1" s="92">
        <f t="shared" si="1"/>
        <v>45979</v>
      </c>
      <c r="AM1" s="92">
        <f t="shared" si="1"/>
        <v>45980</v>
      </c>
      <c r="AN1" s="92">
        <f t="shared" si="1"/>
        <v>45981</v>
      </c>
      <c r="AO1" s="92">
        <f t="shared" si="1"/>
        <v>45982</v>
      </c>
      <c r="AP1" s="92">
        <f t="shared" si="1"/>
        <v>45985</v>
      </c>
      <c r="AQ1" s="92">
        <f t="shared" si="1"/>
        <v>45986</v>
      </c>
      <c r="AR1" s="92">
        <f t="shared" si="1"/>
        <v>45987</v>
      </c>
      <c r="AS1" s="92">
        <f t="shared" si="1"/>
        <v>45988</v>
      </c>
      <c r="AT1" s="92">
        <f t="shared" si="1"/>
        <v>45989</v>
      </c>
      <c r="AU1" s="92">
        <f t="shared" si="1"/>
        <v>45992</v>
      </c>
      <c r="AV1" s="92">
        <f t="shared" si="1"/>
        <v>45993</v>
      </c>
      <c r="AW1" s="92">
        <f t="shared" si="1"/>
        <v>45994</v>
      </c>
      <c r="AX1" s="92">
        <f t="shared" si="1"/>
        <v>45995</v>
      </c>
      <c r="AY1" s="92">
        <f t="shared" si="1"/>
        <v>45996</v>
      </c>
      <c r="AZ1" s="92">
        <f t="shared" si="1"/>
        <v>45999</v>
      </c>
      <c r="BA1" s="92">
        <f t="shared" si="1"/>
        <v>46000</v>
      </c>
      <c r="BB1" s="92">
        <f t="shared" si="1"/>
        <v>46001</v>
      </c>
      <c r="BC1" s="92">
        <f t="shared" si="1"/>
        <v>46002</v>
      </c>
      <c r="BD1" s="92">
        <f t="shared" si="1"/>
        <v>46003</v>
      </c>
      <c r="BE1" s="92">
        <f t="shared" si="1"/>
        <v>46006</v>
      </c>
      <c r="BF1" s="92">
        <f t="shared" si="1"/>
        <v>46007</v>
      </c>
      <c r="BG1" s="92">
        <f t="shared" si="1"/>
        <v>46008</v>
      </c>
      <c r="BH1" s="92">
        <f t="shared" si="1"/>
        <v>46009</v>
      </c>
      <c r="BI1" s="92">
        <f t="shared" si="1"/>
        <v>46010</v>
      </c>
      <c r="BJ1" s="92">
        <f t="shared" si="1"/>
        <v>46013</v>
      </c>
      <c r="BK1" s="92">
        <f t="shared" si="1"/>
        <v>46014</v>
      </c>
      <c r="BL1" s="92">
        <f t="shared" si="1"/>
        <v>46015</v>
      </c>
      <c r="BM1" s="92">
        <f t="shared" si="1"/>
        <v>46016</v>
      </c>
      <c r="BN1" s="92">
        <f t="shared" si="1"/>
        <v>46017</v>
      </c>
      <c r="BO1" s="92">
        <f t="shared" si="1"/>
        <v>46020</v>
      </c>
      <c r="BP1" s="92">
        <f t="shared" si="1"/>
        <v>46021</v>
      </c>
      <c r="BQ1" s="92">
        <f t="shared" si="1"/>
        <v>46022</v>
      </c>
      <c r="BR1" s="92">
        <f t="shared" si="1"/>
        <v>46023</v>
      </c>
      <c r="BS1" s="92">
        <f t="shared" si="1"/>
        <v>46024</v>
      </c>
      <c r="BT1" s="92">
        <f t="shared" ref="BT1:CM1" si="2">WORKDAY(BS1,1)</f>
        <v>46027</v>
      </c>
      <c r="BU1" s="92">
        <f t="shared" si="2"/>
        <v>46028</v>
      </c>
      <c r="BV1" s="92">
        <f t="shared" si="2"/>
        <v>46029</v>
      </c>
      <c r="BW1" s="92">
        <f t="shared" si="2"/>
        <v>46030</v>
      </c>
      <c r="BX1" s="92">
        <f t="shared" si="2"/>
        <v>46031</v>
      </c>
      <c r="BY1" s="92">
        <f t="shared" si="2"/>
        <v>46034</v>
      </c>
      <c r="BZ1" s="92">
        <f t="shared" si="2"/>
        <v>46035</v>
      </c>
      <c r="CA1" s="92">
        <f t="shared" si="2"/>
        <v>46036</v>
      </c>
      <c r="CB1" s="92">
        <f t="shared" si="2"/>
        <v>46037</v>
      </c>
      <c r="CC1" s="92">
        <f t="shared" si="2"/>
        <v>46038</v>
      </c>
      <c r="CD1" s="92">
        <f>WORKDAY(CC1,1)</f>
        <v>46041</v>
      </c>
      <c r="CE1" s="92">
        <f t="shared" si="2"/>
        <v>46042</v>
      </c>
      <c r="CF1" s="92">
        <f t="shared" si="2"/>
        <v>46043</v>
      </c>
      <c r="CG1" s="92">
        <f t="shared" si="2"/>
        <v>46044</v>
      </c>
      <c r="CH1" s="92">
        <f t="shared" si="2"/>
        <v>46045</v>
      </c>
      <c r="CI1" s="92">
        <f t="shared" si="2"/>
        <v>46048</v>
      </c>
      <c r="CJ1" s="92">
        <f t="shared" si="2"/>
        <v>46049</v>
      </c>
      <c r="CK1" s="92">
        <f t="shared" si="2"/>
        <v>46050</v>
      </c>
      <c r="CL1" s="92">
        <f t="shared" si="2"/>
        <v>46051</v>
      </c>
      <c r="CM1" s="92">
        <f t="shared" si="2"/>
        <v>46052</v>
      </c>
      <c r="CN1" s="214">
        <f t="shared" ref="CN1" si="3">WORKDAY(CM1,1)</f>
        <v>46055</v>
      </c>
      <c r="CO1" s="92">
        <f t="shared" ref="CO1" si="4">WORKDAY(CN1,1)</f>
        <v>46056</v>
      </c>
      <c r="CP1" s="92">
        <f t="shared" ref="CP1" si="5">WORKDAY(CO1,1)</f>
        <v>46057</v>
      </c>
      <c r="CQ1" s="92">
        <f t="shared" ref="CQ1" si="6">WORKDAY(CP1,1)</f>
        <v>46058</v>
      </c>
      <c r="CR1" s="92">
        <f t="shared" ref="CR1" si="7">WORKDAY(CQ1,1)</f>
        <v>46059</v>
      </c>
      <c r="CS1" s="92">
        <f t="shared" ref="CS1" si="8">WORKDAY(CR1,1)</f>
        <v>46062</v>
      </c>
      <c r="CT1" s="92">
        <f t="shared" ref="CT1" si="9">WORKDAY(CS1,1)</f>
        <v>46063</v>
      </c>
      <c r="CU1" s="92">
        <f t="shared" ref="CU1" si="10">WORKDAY(CT1,1)</f>
        <v>46064</v>
      </c>
      <c r="CV1" s="92">
        <f t="shared" ref="CV1" si="11">WORKDAY(CU1,1)</f>
        <v>46065</v>
      </c>
      <c r="CW1" s="92">
        <f t="shared" ref="CW1" si="12">WORKDAY(CV1,1)</f>
        <v>46066</v>
      </c>
      <c r="CX1" s="92">
        <f t="shared" ref="CX1" si="13">WORKDAY(CW1,1)</f>
        <v>46069</v>
      </c>
      <c r="CY1" s="92">
        <f t="shared" ref="CY1" si="14">WORKDAY(CX1,1)</f>
        <v>46070</v>
      </c>
      <c r="CZ1" s="92">
        <f t="shared" ref="CZ1" si="15">WORKDAY(CY1,1)</f>
        <v>46071</v>
      </c>
      <c r="DA1" s="92">
        <f t="shared" ref="DA1" si="16">WORKDAY(CZ1,1)</f>
        <v>46072</v>
      </c>
      <c r="DB1" s="92">
        <f t="shared" ref="DB1" si="17">WORKDAY(DA1,1)</f>
        <v>46073</v>
      </c>
      <c r="DC1" s="92">
        <f t="shared" ref="DC1" si="18">WORKDAY(DB1,1)</f>
        <v>46076</v>
      </c>
      <c r="DD1" s="92">
        <f t="shared" ref="DD1" si="19">WORKDAY(DC1,1)</f>
        <v>46077</v>
      </c>
      <c r="DE1" s="92">
        <f t="shared" ref="DE1" si="20">WORKDAY(DD1,1)</f>
        <v>46078</v>
      </c>
      <c r="DF1" s="92">
        <f t="shared" ref="DF1" si="21">WORKDAY(DE1,1)</f>
        <v>46079</v>
      </c>
      <c r="DG1" s="92">
        <f t="shared" ref="DG1" si="22">WORKDAY(DF1,1)</f>
        <v>46080</v>
      </c>
      <c r="DH1" s="92">
        <f t="shared" ref="DH1" si="23">WORKDAY(DG1,1)</f>
        <v>46083</v>
      </c>
      <c r="DI1" s="92">
        <f t="shared" ref="DI1" si="24">WORKDAY(DH1,1)</f>
        <v>46084</v>
      </c>
      <c r="DJ1" s="92">
        <f t="shared" ref="DJ1" si="25">WORKDAY(DI1,1)</f>
        <v>46085</v>
      </c>
      <c r="DK1" s="92">
        <f t="shared" ref="DK1" si="26">WORKDAY(DJ1,1)</f>
        <v>46086</v>
      </c>
      <c r="DL1" s="92">
        <f t="shared" ref="DL1" si="27">WORKDAY(DK1,1)</f>
        <v>46087</v>
      </c>
      <c r="DM1" s="92">
        <f t="shared" ref="DM1" si="28">WORKDAY(DL1,1)</f>
        <v>46090</v>
      </c>
      <c r="DN1" s="92">
        <f t="shared" ref="DN1" si="29">WORKDAY(DM1,1)</f>
        <v>46091</v>
      </c>
      <c r="DO1" s="92">
        <f t="shared" ref="DO1" si="30">WORKDAY(DN1,1)</f>
        <v>46092</v>
      </c>
      <c r="DP1" s="92">
        <f t="shared" ref="DP1" si="31">WORKDAY(DO1,1)</f>
        <v>46093</v>
      </c>
      <c r="DQ1" s="92">
        <f t="shared" ref="DQ1" si="32">WORKDAY(DP1,1)</f>
        <v>46094</v>
      </c>
      <c r="DR1" s="92">
        <f t="shared" ref="DR1" si="33">WORKDAY(DQ1,1)</f>
        <v>46097</v>
      </c>
      <c r="DS1" s="92">
        <f t="shared" ref="DS1" si="34">WORKDAY(DR1,1)</f>
        <v>46098</v>
      </c>
      <c r="DT1" s="92">
        <f t="shared" ref="DT1" si="35">WORKDAY(DS1,1)</f>
        <v>46099</v>
      </c>
      <c r="DU1" s="92">
        <f t="shared" ref="DU1" si="36">WORKDAY(DT1,1)</f>
        <v>46100</v>
      </c>
      <c r="DV1" s="92">
        <f t="shared" ref="DV1" si="37">WORKDAY(DU1,1)</f>
        <v>46101</v>
      </c>
      <c r="DW1" s="92">
        <f t="shared" ref="DW1" si="38">WORKDAY(DV1,1)</f>
        <v>46104</v>
      </c>
      <c r="DX1" s="92">
        <f t="shared" ref="DX1" si="39">WORKDAY(DW1,1)</f>
        <v>46105</v>
      </c>
      <c r="DY1" s="92">
        <f t="shared" ref="DY1" si="40">WORKDAY(DX1,1)</f>
        <v>46106</v>
      </c>
      <c r="DZ1" s="92">
        <f t="shared" ref="DZ1" si="41">WORKDAY(DY1,1)</f>
        <v>46107</v>
      </c>
      <c r="EA1" s="92">
        <f t="shared" ref="EA1" si="42">WORKDAY(DZ1,1)</f>
        <v>46108</v>
      </c>
      <c r="EB1" s="92">
        <f t="shared" ref="EB1" si="43">WORKDAY(EA1,1)</f>
        <v>46111</v>
      </c>
      <c r="EC1" s="109">
        <f t="shared" ref="EC1" si="44">WORKDAY(EB1,1)</f>
        <v>46112</v>
      </c>
      <c r="ED1" s="92">
        <f t="shared" ref="ED1" si="45">WORKDAY(EC1,1)</f>
        <v>46113</v>
      </c>
      <c r="EE1" s="92">
        <f t="shared" ref="EE1" si="46">WORKDAY(ED1,1)</f>
        <v>46114</v>
      </c>
      <c r="EF1" s="109">
        <f t="shared" ref="EF1" si="47">WORKDAY(EE1,1)</f>
        <v>46115</v>
      </c>
      <c r="EG1" s="92">
        <f>WORKDAY(EF1,1)</f>
        <v>46118</v>
      </c>
      <c r="EH1" s="92">
        <f>WORKDAY(EG1,1)</f>
        <v>46119</v>
      </c>
      <c r="EI1" s="92">
        <f>WORKDAY(EH1,1)</f>
        <v>46120</v>
      </c>
      <c r="EJ1" s="92">
        <f>WORKDAY(EI1,1)</f>
        <v>46121</v>
      </c>
      <c r="EK1" s="92">
        <f>WORKDAY(EJ1,1)</f>
        <v>46122</v>
      </c>
      <c r="EL1" s="92">
        <f>WORKDAY(EK1,1)</f>
        <v>46125</v>
      </c>
      <c r="EM1" s="92">
        <f>WORKDAY(EL1,1)</f>
        <v>46126</v>
      </c>
      <c r="EN1" s="214">
        <f>WORKDAY(EM1,1)</f>
        <v>46127</v>
      </c>
      <c r="EO1" s="92">
        <f>WORKDAY(EN1,1)</f>
        <v>46128</v>
      </c>
      <c r="EP1" s="92">
        <f>WORKDAY(EO1,1)</f>
        <v>46129</v>
      </c>
      <c r="EQ1" s="92">
        <f>WORKDAY(EP1,1)</f>
        <v>46132</v>
      </c>
      <c r="ER1" s="92">
        <f>WORKDAY(EQ1,1)</f>
        <v>46133</v>
      </c>
      <c r="ES1" s="92">
        <f>WORKDAY(ER1,1)</f>
        <v>46134</v>
      </c>
      <c r="ET1" s="92">
        <f>WORKDAY(ES1,1)</f>
        <v>46135</v>
      </c>
      <c r="EU1" s="92">
        <f>WORKDAY(ET1,1)</f>
        <v>46136</v>
      </c>
      <c r="EV1" s="92">
        <f>WORKDAY(EU1,1)</f>
        <v>46139</v>
      </c>
      <c r="EW1" s="92">
        <f>WORKDAY(EV1,1)</f>
        <v>46140</v>
      </c>
      <c r="EX1" s="92">
        <f>WORKDAY(EW1,1)</f>
        <v>46141</v>
      </c>
      <c r="EY1" s="109">
        <f>WORKDAY(EX1,1)</f>
        <v>46142</v>
      </c>
      <c r="EZ1" s="92">
        <f>WORKDAY(EY1,1)</f>
        <v>46143</v>
      </c>
      <c r="FA1" s="92">
        <f>WORKDAY(EZ1,1)</f>
        <v>46146</v>
      </c>
      <c r="FB1" s="92">
        <f>WORKDAY(FA1,1)</f>
        <v>46147</v>
      </c>
      <c r="FC1" s="92">
        <f>WORKDAY(FB1,1)</f>
        <v>46148</v>
      </c>
      <c r="FD1" s="92">
        <f t="shared" ref="FD1:FE1" si="48">WORKDAY(FC1,1)</f>
        <v>46149</v>
      </c>
      <c r="FE1" s="92">
        <f t="shared" si="48"/>
        <v>46150</v>
      </c>
      <c r="FF1" s="92">
        <f>WORKDAY(FE1,1)</f>
        <v>46153</v>
      </c>
      <c r="FG1" s="92">
        <f>WORKDAY(FF1,1)</f>
        <v>46154</v>
      </c>
      <c r="FH1" s="92">
        <f>WORKDAY(FG1,1)</f>
        <v>46155</v>
      </c>
      <c r="FI1" s="92">
        <f>WORKDAY(FH1,1)</f>
        <v>46156</v>
      </c>
      <c r="FJ1" s="92">
        <f>WORKDAY(FI1,1)</f>
        <v>46157</v>
      </c>
      <c r="FK1" s="92">
        <f>WORKDAY(FJ1,1)</f>
        <v>46160</v>
      </c>
      <c r="FL1" s="92">
        <f>WORKDAY(FK1,1)</f>
        <v>46161</v>
      </c>
      <c r="FM1" s="92">
        <f>WORKDAY(FL1,1)</f>
        <v>46162</v>
      </c>
      <c r="FN1" s="92">
        <f>WORKDAY(FM1,1)</f>
        <v>46163</v>
      </c>
      <c r="FO1" s="92">
        <f>WORKDAY(FN1,1)</f>
        <v>46164</v>
      </c>
      <c r="FP1" s="92">
        <f>WORKDAY(FO1,1)</f>
        <v>46167</v>
      </c>
      <c r="FQ1" s="92">
        <f>WORKDAY(FP1,1)</f>
        <v>46168</v>
      </c>
      <c r="FR1" s="92">
        <f>WORKDAY(FQ1,1)</f>
        <v>46169</v>
      </c>
      <c r="FS1" s="92">
        <f>WORKDAY(FR1,1)</f>
        <v>46170</v>
      </c>
      <c r="FT1" s="92">
        <f>WORKDAY(FS1,1)</f>
        <v>46171</v>
      </c>
      <c r="FU1" s="92">
        <f>WORKDAY(FT1,1)</f>
        <v>46174</v>
      </c>
      <c r="FV1" s="92">
        <f>WORKDAY(FU1,1)</f>
        <v>46175</v>
      </c>
      <c r="FW1" s="92">
        <f>WORKDAY(FV1,1)</f>
        <v>46176</v>
      </c>
      <c r="FX1" s="92">
        <f>WORKDAY(FW1,1)</f>
        <v>46177</v>
      </c>
      <c r="FY1" s="92">
        <f>WORKDAY(FX1,1)</f>
        <v>46178</v>
      </c>
      <c r="FZ1" s="109">
        <f>WORKDAY(FY1,1)</f>
        <v>46181</v>
      </c>
      <c r="GA1" s="92">
        <f>WORKDAY(FZ1,1)</f>
        <v>46182</v>
      </c>
      <c r="GB1" s="92">
        <f t="shared" ref="GB1:HM1" si="49">WORKDAY(GA1,1)</f>
        <v>46183</v>
      </c>
      <c r="GC1" s="92">
        <f t="shared" si="49"/>
        <v>46184</v>
      </c>
      <c r="GD1" s="92">
        <f t="shared" si="49"/>
        <v>46185</v>
      </c>
      <c r="GE1" s="92">
        <f t="shared" si="49"/>
        <v>46188</v>
      </c>
      <c r="GF1" s="92">
        <f t="shared" si="49"/>
        <v>46189</v>
      </c>
      <c r="GG1" s="92">
        <f t="shared" si="49"/>
        <v>46190</v>
      </c>
      <c r="GH1" s="92">
        <f t="shared" si="49"/>
        <v>46191</v>
      </c>
      <c r="GI1" s="92">
        <f t="shared" si="49"/>
        <v>46192</v>
      </c>
      <c r="GJ1" s="92">
        <f t="shared" si="49"/>
        <v>46195</v>
      </c>
      <c r="GK1" s="92">
        <f t="shared" si="49"/>
        <v>46196</v>
      </c>
      <c r="GL1" s="92">
        <f t="shared" si="49"/>
        <v>46197</v>
      </c>
      <c r="GM1" s="92">
        <f t="shared" si="49"/>
        <v>46198</v>
      </c>
      <c r="GN1" s="92">
        <f t="shared" si="49"/>
        <v>46199</v>
      </c>
      <c r="GO1" s="92">
        <f t="shared" si="49"/>
        <v>46202</v>
      </c>
      <c r="GP1" s="92">
        <f t="shared" si="49"/>
        <v>46203</v>
      </c>
      <c r="GQ1" s="92">
        <f t="shared" si="49"/>
        <v>46204</v>
      </c>
      <c r="GR1" s="92">
        <f t="shared" si="49"/>
        <v>46205</v>
      </c>
      <c r="GS1" s="92">
        <f t="shared" si="49"/>
        <v>46206</v>
      </c>
      <c r="GT1" s="92">
        <f t="shared" si="49"/>
        <v>46209</v>
      </c>
      <c r="GU1" s="92">
        <f t="shared" si="49"/>
        <v>46210</v>
      </c>
      <c r="GV1" s="92">
        <f t="shared" si="49"/>
        <v>46211</v>
      </c>
      <c r="GW1" s="92">
        <f t="shared" si="49"/>
        <v>46212</v>
      </c>
      <c r="GX1" s="92">
        <f t="shared" si="49"/>
        <v>46213</v>
      </c>
      <c r="GY1" s="92">
        <f t="shared" si="49"/>
        <v>46216</v>
      </c>
      <c r="GZ1" s="92">
        <f t="shared" si="49"/>
        <v>46217</v>
      </c>
      <c r="HA1" s="92">
        <f t="shared" si="49"/>
        <v>46218</v>
      </c>
      <c r="HB1" s="92">
        <f t="shared" si="49"/>
        <v>46219</v>
      </c>
      <c r="HC1" s="92">
        <f t="shared" si="49"/>
        <v>46220</v>
      </c>
      <c r="HD1" s="92">
        <f t="shared" si="49"/>
        <v>46223</v>
      </c>
      <c r="HE1" s="92">
        <f t="shared" si="49"/>
        <v>46224</v>
      </c>
      <c r="HF1" s="92">
        <f t="shared" si="49"/>
        <v>46225</v>
      </c>
      <c r="HG1" s="92">
        <f t="shared" si="49"/>
        <v>46226</v>
      </c>
      <c r="HH1" s="92">
        <f t="shared" si="49"/>
        <v>46227</v>
      </c>
      <c r="HI1" s="92">
        <f t="shared" si="49"/>
        <v>46230</v>
      </c>
      <c r="HJ1" s="92">
        <f t="shared" si="49"/>
        <v>46231</v>
      </c>
      <c r="HK1" s="92">
        <f t="shared" si="49"/>
        <v>46232</v>
      </c>
      <c r="HL1" s="92">
        <f t="shared" si="49"/>
        <v>46233</v>
      </c>
      <c r="HM1" s="109">
        <f t="shared" si="49"/>
        <v>46234</v>
      </c>
      <c r="HN1" s="92">
        <f t="shared" ref="HN1" si="50">WORKDAY(HM1,1)</f>
        <v>46237</v>
      </c>
      <c r="HO1" s="92">
        <f t="shared" ref="HO1" si="51">WORKDAY(HN1,1)</f>
        <v>46238</v>
      </c>
      <c r="HP1" s="92">
        <f t="shared" ref="HP1" si="52">WORKDAY(HO1,1)</f>
        <v>46239</v>
      </c>
      <c r="HQ1" s="92">
        <f t="shared" ref="HQ1" si="53">WORKDAY(HP1,1)</f>
        <v>46240</v>
      </c>
      <c r="HR1" s="92">
        <f t="shared" ref="HR1" si="54">WORKDAY(HQ1,1)</f>
        <v>46241</v>
      </c>
      <c r="HS1" s="92">
        <f t="shared" ref="HS1" si="55">WORKDAY(HR1,1)</f>
        <v>46244</v>
      </c>
      <c r="HT1" s="92">
        <f t="shared" ref="HT1" si="56">WORKDAY(HS1,1)</f>
        <v>46245</v>
      </c>
      <c r="HU1" s="92">
        <f t="shared" ref="HU1" si="57">WORKDAY(HT1,1)</f>
        <v>46246</v>
      </c>
      <c r="HV1" s="92">
        <f t="shared" ref="HV1" si="58">WORKDAY(HU1,1)</f>
        <v>46247</v>
      </c>
      <c r="HW1" s="92">
        <f t="shared" ref="HW1" si="59">WORKDAY(HV1,1)</f>
        <v>46248</v>
      </c>
      <c r="HX1" s="92">
        <f t="shared" ref="HX1" si="60">WORKDAY(HW1,1)</f>
        <v>46251</v>
      </c>
      <c r="HY1" s="92">
        <f t="shared" ref="HY1" si="61">WORKDAY(HX1,1)</f>
        <v>46252</v>
      </c>
      <c r="HZ1" s="92">
        <f t="shared" ref="HZ1" si="62">WORKDAY(HY1,1)</f>
        <v>46253</v>
      </c>
      <c r="IA1" s="92">
        <f t="shared" ref="IA1" si="63">WORKDAY(HZ1,1)</f>
        <v>46254</v>
      </c>
      <c r="IB1" s="92">
        <f t="shared" ref="IB1" si="64">WORKDAY(IA1,1)</f>
        <v>46255</v>
      </c>
      <c r="IC1" s="92">
        <f t="shared" ref="IC1" si="65">WORKDAY(IB1,1)</f>
        <v>46258</v>
      </c>
      <c r="ID1" s="92">
        <f t="shared" ref="ID1" si="66">WORKDAY(IC1,1)</f>
        <v>46259</v>
      </c>
      <c r="IE1" s="92">
        <f t="shared" ref="IE1" si="67">WORKDAY(ID1,1)</f>
        <v>46260</v>
      </c>
      <c r="IF1" s="92">
        <f t="shared" ref="IF1" si="68">WORKDAY(IE1,1)</f>
        <v>46261</v>
      </c>
      <c r="IG1" s="92">
        <f t="shared" ref="IG1" si="69">WORKDAY(IF1,1)</f>
        <v>46262</v>
      </c>
      <c r="IH1" s="92">
        <f t="shared" ref="IH1" si="70">WORKDAY(IG1,1)</f>
        <v>46265</v>
      </c>
      <c r="II1" s="92">
        <f t="shared" ref="II1" si="71">WORKDAY(IH1,1)</f>
        <v>46266</v>
      </c>
      <c r="IJ1" s="92">
        <f t="shared" ref="IJ1" si="72">WORKDAY(II1,1)</f>
        <v>46267</v>
      </c>
      <c r="IK1" s="109">
        <f t="shared" ref="IK1" si="73">WORKDAY(IJ1,1)</f>
        <v>46268</v>
      </c>
      <c r="IL1" s="92">
        <f t="shared" ref="IL1" si="74">WORKDAY(IK1,1)</f>
        <v>46269</v>
      </c>
      <c r="IM1" s="92">
        <f t="shared" ref="IM1" si="75">WORKDAY(IL1,1)</f>
        <v>46272</v>
      </c>
      <c r="IN1" s="92">
        <f t="shared" ref="IN1" si="76">WORKDAY(IM1,1)</f>
        <v>46273</v>
      </c>
      <c r="IO1" s="92">
        <f t="shared" ref="IO1" si="77">WORKDAY(IN1,1)</f>
        <v>46274</v>
      </c>
      <c r="IP1" s="92">
        <f t="shared" ref="IP1" si="78">WORKDAY(IO1,1)</f>
        <v>46275</v>
      </c>
      <c r="IQ1" s="92">
        <f t="shared" ref="IQ1" si="79">WORKDAY(IP1,1)</f>
        <v>46276</v>
      </c>
      <c r="IR1" s="92">
        <f t="shared" ref="IR1" si="80">WORKDAY(IQ1,1)</f>
        <v>46279</v>
      </c>
      <c r="IS1" s="92">
        <f t="shared" ref="IS1" si="81">WORKDAY(IR1,1)</f>
        <v>46280</v>
      </c>
      <c r="IT1" s="92">
        <f t="shared" ref="IT1" si="82">WORKDAY(IS1,1)</f>
        <v>46281</v>
      </c>
      <c r="IU1" s="92">
        <f t="shared" ref="IU1" si="83">WORKDAY(IT1,1)</f>
        <v>46282</v>
      </c>
      <c r="IV1" s="92">
        <f t="shared" ref="IV1" si="84">WORKDAY(IU1,1)</f>
        <v>46283</v>
      </c>
      <c r="IW1" s="92">
        <f t="shared" ref="IW1" si="85">WORKDAY(IV1,1)</f>
        <v>46286</v>
      </c>
      <c r="IX1" s="92">
        <f t="shared" ref="IX1" si="86">WORKDAY(IW1,1)</f>
        <v>46287</v>
      </c>
      <c r="IY1" s="92">
        <f t="shared" ref="IY1" si="87">WORKDAY(IX1,1)</f>
        <v>46288</v>
      </c>
      <c r="IZ1" s="92">
        <f t="shared" ref="IZ1" si="88">WORKDAY(IY1,1)</f>
        <v>46289</v>
      </c>
      <c r="JA1" s="92">
        <f t="shared" ref="JA1" si="89">WORKDAY(IZ1,1)</f>
        <v>46290</v>
      </c>
      <c r="JB1" s="92">
        <f t="shared" ref="JB1" si="90">WORKDAY(JA1,1)</f>
        <v>46293</v>
      </c>
      <c r="JC1" s="92">
        <f t="shared" ref="JC1" si="91">WORKDAY(JB1,1)</f>
        <v>46294</v>
      </c>
      <c r="JD1" s="92">
        <f t="shared" ref="JD1" si="92">WORKDAY(JC1,1)</f>
        <v>46295</v>
      </c>
      <c r="JE1" s="92">
        <f t="shared" ref="JE1" si="93">WORKDAY(JD1,1)</f>
        <v>46296</v>
      </c>
      <c r="JF1" s="92">
        <f t="shared" ref="JF1" si="94">WORKDAY(JE1,1)</f>
        <v>46297</v>
      </c>
      <c r="JG1" s="92">
        <f t="shared" ref="JG1" si="95">WORKDAY(JF1,1)</f>
        <v>46300</v>
      </c>
      <c r="JH1" s="92">
        <f t="shared" ref="JH1" si="96">WORKDAY(JG1,1)</f>
        <v>46301</v>
      </c>
      <c r="JI1" s="92">
        <f t="shared" ref="JI1" si="97">WORKDAY(JH1,1)</f>
        <v>46302</v>
      </c>
      <c r="JJ1" s="92">
        <f t="shared" ref="JJ1" si="98">WORKDAY(JI1,1)</f>
        <v>46303</v>
      </c>
      <c r="JK1" s="92">
        <f t="shared" ref="JK1" si="99">WORKDAY(JJ1,1)</f>
        <v>46304</v>
      </c>
      <c r="JL1" s="92">
        <f t="shared" ref="JL1" si="100">WORKDAY(JK1,1)</f>
        <v>46307</v>
      </c>
      <c r="JM1" s="92">
        <f t="shared" ref="JM1" si="101">WORKDAY(JL1,1)</f>
        <v>46308</v>
      </c>
      <c r="JN1" s="92">
        <f t="shared" ref="JN1" si="102">WORKDAY(JM1,1)</f>
        <v>46309</v>
      </c>
      <c r="JO1" s="92">
        <f t="shared" ref="JO1" si="103">WORKDAY(JN1,1)</f>
        <v>46310</v>
      </c>
      <c r="JP1" s="92">
        <f t="shared" ref="JP1" si="104">WORKDAY(JO1,1)</f>
        <v>46311</v>
      </c>
      <c r="JQ1" s="92">
        <f t="shared" ref="JQ1" si="105">WORKDAY(JP1,1)</f>
        <v>46314</v>
      </c>
      <c r="JR1" s="92">
        <f t="shared" ref="JR1" si="106">WORKDAY(JQ1,1)</f>
        <v>46315</v>
      </c>
      <c r="JS1" s="92">
        <f t="shared" ref="JS1" si="107">WORKDAY(JR1,1)</f>
        <v>46316</v>
      </c>
      <c r="JT1" s="92">
        <f t="shared" ref="JT1" si="108">WORKDAY(JS1,1)</f>
        <v>46317</v>
      </c>
      <c r="JU1" s="92">
        <f t="shared" ref="JU1" si="109">WORKDAY(JT1,1)</f>
        <v>46318</v>
      </c>
      <c r="JV1" s="92">
        <f t="shared" ref="JV1" si="110">WORKDAY(JU1,1)</f>
        <v>46321</v>
      </c>
      <c r="JW1" s="92">
        <f t="shared" ref="JW1" si="111">WORKDAY(JV1,1)</f>
        <v>46322</v>
      </c>
      <c r="JX1" s="92">
        <f t="shared" ref="JX1" si="112">WORKDAY(JW1,1)</f>
        <v>46323</v>
      </c>
      <c r="JY1" s="92">
        <f>WORKDAY(JX1,1)</f>
        <v>46324</v>
      </c>
      <c r="JZ1" s="92">
        <f t="shared" ref="JZ1" si="113">WORKDAY(JY1,1)</f>
        <v>46325</v>
      </c>
      <c r="KA1" s="92">
        <f t="shared" ref="KA1" si="114">WORKDAY(JZ1,1)</f>
        <v>46328</v>
      </c>
      <c r="KB1" s="92">
        <f t="shared" ref="KB1" si="115">WORKDAY(KA1,1)</f>
        <v>46329</v>
      </c>
      <c r="KC1" s="92">
        <f t="shared" ref="KC1" si="116">WORKDAY(KB1,1)</f>
        <v>46330</v>
      </c>
      <c r="KD1" s="92">
        <f t="shared" ref="KD1" si="117">WORKDAY(KC1,1)</f>
        <v>46331</v>
      </c>
      <c r="KE1" s="92">
        <f t="shared" ref="KE1" si="118">WORKDAY(KD1,1)</f>
        <v>46332</v>
      </c>
      <c r="KF1" s="92">
        <f t="shared" ref="KF1" si="119">WORKDAY(KE1,1)</f>
        <v>46335</v>
      </c>
      <c r="KG1" s="92">
        <f t="shared" ref="KG1" si="120">WORKDAY(KF1,1)</f>
        <v>46336</v>
      </c>
      <c r="KH1" s="92">
        <f t="shared" ref="KH1" si="121">WORKDAY(KG1,1)</f>
        <v>46337</v>
      </c>
      <c r="KI1" s="92">
        <f t="shared" ref="KI1" si="122">WORKDAY(KH1,1)</f>
        <v>46338</v>
      </c>
      <c r="KJ1" s="92">
        <f t="shared" ref="KJ1" si="123">WORKDAY(KI1,1)</f>
        <v>46339</v>
      </c>
      <c r="KK1" s="92">
        <f t="shared" ref="KK1" si="124">WORKDAY(KJ1,1)</f>
        <v>46342</v>
      </c>
      <c r="KL1" s="92">
        <f t="shared" ref="KL1" si="125">WORKDAY(KK1,1)</f>
        <v>46343</v>
      </c>
      <c r="KM1" s="92">
        <f>WORKDAY(KL1,1)</f>
        <v>46344</v>
      </c>
      <c r="KN1" s="92">
        <f t="shared" ref="KN1" si="126">WORKDAY(KM1,1)</f>
        <v>46345</v>
      </c>
      <c r="KO1" s="92">
        <f t="shared" ref="KO1" si="127">WORKDAY(KN1,1)</f>
        <v>46346</v>
      </c>
      <c r="KP1" s="92">
        <f t="shared" ref="KP1" si="128">WORKDAY(KO1,1)</f>
        <v>46349</v>
      </c>
      <c r="KQ1" s="92">
        <f t="shared" ref="KQ1" si="129">WORKDAY(KP1,1)</f>
        <v>46350</v>
      </c>
      <c r="KR1" s="92">
        <f t="shared" ref="KR1" si="130">WORKDAY(KQ1,1)</f>
        <v>46351</v>
      </c>
      <c r="KS1" s="92">
        <f t="shared" ref="KS1" si="131">WORKDAY(KR1,1)</f>
        <v>46352</v>
      </c>
      <c r="KT1" s="92">
        <f t="shared" ref="KT1" si="132">WORKDAY(KS1,1)</f>
        <v>46353</v>
      </c>
      <c r="KU1" s="92">
        <f t="shared" ref="KU1" si="133">WORKDAY(KT1,1)</f>
        <v>46356</v>
      </c>
      <c r="KV1" s="92">
        <f t="shared" ref="KV1" si="134">WORKDAY(KU1,1)</f>
        <v>46357</v>
      </c>
      <c r="KW1" s="92">
        <f t="shared" ref="KW1" si="135">WORKDAY(KV1,1)</f>
        <v>46358</v>
      </c>
      <c r="KX1" s="92">
        <f t="shared" ref="KX1" si="136">WORKDAY(KW1,1)</f>
        <v>46359</v>
      </c>
      <c r="KY1" s="92">
        <f t="shared" ref="KY1" si="137">WORKDAY(KX1,1)</f>
        <v>46360</v>
      </c>
      <c r="KZ1" s="92">
        <f t="shared" ref="KZ1" si="138">WORKDAY(KY1,1)</f>
        <v>46363</v>
      </c>
      <c r="LA1" s="92">
        <f t="shared" ref="LA1" si="139">WORKDAY(KZ1,1)</f>
        <v>46364</v>
      </c>
      <c r="LB1" s="92">
        <f t="shared" ref="LB1" si="140">WORKDAY(LA1,1)</f>
        <v>46365</v>
      </c>
      <c r="LC1" s="92">
        <f t="shared" ref="LC1" si="141">WORKDAY(LB1,1)</f>
        <v>46366</v>
      </c>
      <c r="LD1" s="92">
        <f t="shared" ref="LD1" si="142">WORKDAY(LC1,1)</f>
        <v>46367</v>
      </c>
      <c r="LE1" s="92">
        <f t="shared" ref="LE1" si="143">WORKDAY(LD1,1)</f>
        <v>46370</v>
      </c>
      <c r="LF1" s="92">
        <f t="shared" ref="LF1" si="144">WORKDAY(LE1,1)</f>
        <v>46371</v>
      </c>
      <c r="LG1" s="92">
        <f t="shared" ref="LG1" si="145">WORKDAY(LF1,1)</f>
        <v>46372</v>
      </c>
      <c r="LH1" s="92">
        <f t="shared" ref="LH1" si="146">WORKDAY(LG1,1)</f>
        <v>46373</v>
      </c>
      <c r="LI1" s="92">
        <f t="shared" ref="LI1" si="147">WORKDAY(LH1,1)</f>
        <v>46374</v>
      </c>
      <c r="LJ1" s="92">
        <f t="shared" ref="LJ1" si="148">WORKDAY(LI1,1)</f>
        <v>46377</v>
      </c>
      <c r="LK1" s="92">
        <f t="shared" ref="LK1" si="149">WORKDAY(LJ1,1)</f>
        <v>46378</v>
      </c>
      <c r="LL1" s="92">
        <f t="shared" ref="LL1" si="150">WORKDAY(LK1,1)</f>
        <v>46379</v>
      </c>
      <c r="LM1" s="92">
        <f t="shared" ref="LM1" si="151">WORKDAY(LL1,1)</f>
        <v>46380</v>
      </c>
      <c r="LN1" s="92">
        <f t="shared" ref="LN1" si="152">WORKDAY(LM1,1)</f>
        <v>46381</v>
      </c>
      <c r="LO1" s="92">
        <f t="shared" ref="LO1" si="153">WORKDAY(LN1,1)</f>
        <v>46384</v>
      </c>
      <c r="LP1" s="92">
        <f t="shared" ref="LP1" si="154">WORKDAY(LO1,1)</f>
        <v>46385</v>
      </c>
      <c r="LQ1" s="92">
        <f t="shared" ref="LQ1" si="155">WORKDAY(LP1,1)</f>
        <v>46386</v>
      </c>
      <c r="LR1" s="92">
        <f t="shared" ref="LR1" si="156">WORKDAY(LQ1,1)</f>
        <v>46387</v>
      </c>
      <c r="LS1" s="92">
        <f t="shared" ref="LS1" si="157">WORKDAY(LR1,1)</f>
        <v>46388</v>
      </c>
      <c r="LT1" s="92">
        <f t="shared" ref="LT1" si="158">WORKDAY(LS1,1)</f>
        <v>46391</v>
      </c>
      <c r="LU1" s="92">
        <f t="shared" ref="LU1" si="159">WORKDAY(LT1,1)</f>
        <v>46392</v>
      </c>
      <c r="LV1" s="92">
        <f t="shared" ref="LV1" si="160">WORKDAY(LU1,1)</f>
        <v>46393</v>
      </c>
      <c r="LW1" s="92">
        <f t="shared" ref="LW1" si="161">WORKDAY(LV1,1)</f>
        <v>46394</v>
      </c>
      <c r="LX1" s="92">
        <f t="shared" ref="LX1" si="162">WORKDAY(LW1,1)</f>
        <v>46395</v>
      </c>
      <c r="LY1" s="92">
        <f t="shared" ref="LY1" si="163">WORKDAY(LX1,1)</f>
        <v>46398</v>
      </c>
      <c r="LZ1" s="92">
        <f t="shared" ref="LZ1" si="164">WORKDAY(LY1,1)</f>
        <v>46399</v>
      </c>
      <c r="MA1" s="92">
        <f t="shared" ref="MA1" si="165">WORKDAY(LZ1,1)</f>
        <v>46400</v>
      </c>
      <c r="MB1" s="92">
        <f t="shared" ref="MB1" si="166">WORKDAY(MA1,1)</f>
        <v>46401</v>
      </c>
      <c r="MC1" s="92">
        <f t="shared" ref="MC1" si="167">WORKDAY(MB1,1)</f>
        <v>46402</v>
      </c>
      <c r="MD1" s="92">
        <f t="shared" ref="MD1" si="168">WORKDAY(MC1,1)</f>
        <v>46405</v>
      </c>
      <c r="ME1" s="92">
        <f t="shared" ref="ME1" si="169">WORKDAY(MD1,1)</f>
        <v>46406</v>
      </c>
      <c r="MF1" s="92">
        <f t="shared" ref="MF1" si="170">WORKDAY(ME1,1)</f>
        <v>46407</v>
      </c>
      <c r="MG1" s="92">
        <f t="shared" ref="MG1" si="171">WORKDAY(MF1,1)</f>
        <v>46408</v>
      </c>
      <c r="MH1" s="92">
        <f t="shared" ref="MH1" si="172">WORKDAY(MG1,1)</f>
        <v>46409</v>
      </c>
      <c r="MI1" s="92">
        <f t="shared" ref="MI1" si="173">WORKDAY(MH1,1)</f>
        <v>46412</v>
      </c>
      <c r="MJ1" s="92">
        <f t="shared" ref="MJ1" si="174">WORKDAY(MI1,1)</f>
        <v>46413</v>
      </c>
      <c r="MK1" s="92">
        <f t="shared" ref="MK1" si="175">WORKDAY(MJ1,1)</f>
        <v>46414</v>
      </c>
      <c r="ML1" s="92">
        <f t="shared" ref="ML1" si="176">WORKDAY(MK1,1)</f>
        <v>46415</v>
      </c>
      <c r="MM1" s="92">
        <f t="shared" ref="MM1" si="177">WORKDAY(ML1,1)</f>
        <v>46416</v>
      </c>
      <c r="MN1" s="92">
        <f t="shared" ref="MN1" si="178">WORKDAY(MM1,1)</f>
        <v>46419</v>
      </c>
      <c r="MO1" s="92">
        <f t="shared" ref="MO1" si="179">WORKDAY(MN1,1)</f>
        <v>46420</v>
      </c>
      <c r="MP1" s="92">
        <f t="shared" ref="MP1" si="180">WORKDAY(MO1,1)</f>
        <v>46421</v>
      </c>
      <c r="MQ1" s="92">
        <f t="shared" ref="MQ1" si="181">WORKDAY(MP1,1)</f>
        <v>46422</v>
      </c>
      <c r="MR1" s="92">
        <f t="shared" ref="MR1" si="182">WORKDAY(MQ1,1)</f>
        <v>46423</v>
      </c>
      <c r="MS1" s="92">
        <f t="shared" ref="MS1" si="183">WORKDAY(MR1,1)</f>
        <v>46426</v>
      </c>
      <c r="MT1" s="92">
        <f t="shared" ref="MT1" si="184">WORKDAY(MS1,1)</f>
        <v>46427</v>
      </c>
      <c r="MU1" s="92">
        <f t="shared" ref="MU1" si="185">WORKDAY(MT1,1)</f>
        <v>46428</v>
      </c>
      <c r="MV1" s="92">
        <f t="shared" ref="MV1" si="186">WORKDAY(MU1,1)</f>
        <v>46429</v>
      </c>
      <c r="MW1" s="92">
        <f t="shared" ref="MW1" si="187">WORKDAY(MV1,1)</f>
        <v>46430</v>
      </c>
      <c r="MX1" s="92">
        <f t="shared" ref="MX1" si="188">WORKDAY(MW1,1)</f>
        <v>46433</v>
      </c>
      <c r="MY1" s="92">
        <f t="shared" ref="MY1" si="189">WORKDAY(MX1,1)</f>
        <v>46434</v>
      </c>
      <c r="MZ1" s="92">
        <f t="shared" ref="MZ1" si="190">WORKDAY(MY1,1)</f>
        <v>46435</v>
      </c>
      <c r="NA1" s="92">
        <f t="shared" ref="NA1" si="191">WORKDAY(MZ1,1)</f>
        <v>46436</v>
      </c>
      <c r="NB1" s="92">
        <f t="shared" ref="NB1" si="192">WORKDAY(NA1,1)</f>
        <v>46437</v>
      </c>
      <c r="NC1" s="92">
        <f t="shared" ref="NC1" si="193">WORKDAY(NB1,1)</f>
        <v>46440</v>
      </c>
      <c r="ND1" s="92">
        <f t="shared" ref="ND1" si="194">WORKDAY(NC1,1)</f>
        <v>46441</v>
      </c>
      <c r="NE1" s="92">
        <f t="shared" ref="NE1" si="195">WORKDAY(ND1,1)</f>
        <v>46442</v>
      </c>
      <c r="NF1" s="92">
        <f t="shared" ref="NF1" si="196">WORKDAY(NE1,1)</f>
        <v>46443</v>
      </c>
      <c r="NG1" s="92">
        <f t="shared" ref="NG1" si="197">WORKDAY(NF1,1)</f>
        <v>46444</v>
      </c>
      <c r="NH1" s="92">
        <f t="shared" ref="NH1" si="198">WORKDAY(NG1,1)</f>
        <v>46447</v>
      </c>
      <c r="NI1" s="92">
        <f t="shared" ref="NI1" si="199">WORKDAY(NH1,1)</f>
        <v>46448</v>
      </c>
      <c r="NJ1" s="92">
        <f t="shared" ref="NJ1" si="200">WORKDAY(NI1,1)</f>
        <v>46449</v>
      </c>
      <c r="NK1" s="92">
        <f t="shared" ref="NK1" si="201">WORKDAY(NJ1,1)</f>
        <v>46450</v>
      </c>
      <c r="NL1" s="92">
        <f t="shared" ref="NL1" si="202">WORKDAY(NK1,1)</f>
        <v>46451</v>
      </c>
      <c r="NM1" s="92">
        <f t="shared" ref="NM1" si="203">WORKDAY(NL1,1)</f>
        <v>46454</v>
      </c>
      <c r="NN1" s="92">
        <f t="shared" ref="NN1" si="204">WORKDAY(NM1,1)</f>
        <v>46455</v>
      </c>
      <c r="NO1" s="92">
        <f t="shared" ref="NO1" si="205">WORKDAY(NN1,1)</f>
        <v>46456</v>
      </c>
      <c r="NP1" s="92">
        <f t="shared" ref="NP1" si="206">WORKDAY(NO1,1)</f>
        <v>46457</v>
      </c>
      <c r="NQ1" s="92">
        <f t="shared" ref="NQ1" si="207">WORKDAY(NP1,1)</f>
        <v>46458</v>
      </c>
      <c r="NR1" s="92">
        <f t="shared" ref="NR1" si="208">WORKDAY(NQ1,1)</f>
        <v>46461</v>
      </c>
      <c r="NS1" s="92">
        <f t="shared" ref="NS1" si="209">WORKDAY(NR1,1)</f>
        <v>46462</v>
      </c>
      <c r="NT1" s="92">
        <f t="shared" ref="NT1" si="210">WORKDAY(NS1,1)</f>
        <v>46463</v>
      </c>
      <c r="NU1" s="92">
        <f t="shared" ref="NU1" si="211">WORKDAY(NT1,1)</f>
        <v>46464</v>
      </c>
      <c r="NV1" s="92">
        <f t="shared" ref="NV1" si="212">WORKDAY(NU1,1)</f>
        <v>46465</v>
      </c>
      <c r="NW1" s="92">
        <f t="shared" ref="NW1" si="213">WORKDAY(NV1,1)</f>
        <v>46468</v>
      </c>
    </row>
    <row r="2" spans="1:387">
      <c r="A2" s="217"/>
      <c r="B2" s="93" t="s">
        <v>50</v>
      </c>
      <c r="C2" s="93" t="s">
        <v>51</v>
      </c>
      <c r="D2" s="93" t="s">
        <v>52</v>
      </c>
      <c r="E2" s="93" t="s">
        <v>53</v>
      </c>
      <c r="F2" s="93" t="s">
        <v>54</v>
      </c>
      <c r="G2" s="93" t="s">
        <v>50</v>
      </c>
      <c r="H2" s="93" t="s">
        <v>51</v>
      </c>
      <c r="I2" s="93" t="s">
        <v>52</v>
      </c>
      <c r="J2" s="93" t="s">
        <v>53</v>
      </c>
      <c r="K2" s="93" t="s">
        <v>54</v>
      </c>
      <c r="L2" s="93" t="s">
        <v>50</v>
      </c>
      <c r="M2" s="93" t="s">
        <v>51</v>
      </c>
      <c r="N2" s="93" t="s">
        <v>52</v>
      </c>
      <c r="O2" s="93" t="s">
        <v>53</v>
      </c>
      <c r="P2" s="93" t="s">
        <v>54</v>
      </c>
      <c r="Q2" s="93" t="s">
        <v>50</v>
      </c>
      <c r="R2" s="93" t="s">
        <v>51</v>
      </c>
      <c r="S2" s="93" t="s">
        <v>52</v>
      </c>
      <c r="T2" s="93" t="s">
        <v>53</v>
      </c>
      <c r="U2" s="93" t="s">
        <v>54</v>
      </c>
      <c r="V2" s="93" t="s">
        <v>50</v>
      </c>
      <c r="W2" s="93" t="s">
        <v>51</v>
      </c>
      <c r="X2" s="93" t="s">
        <v>52</v>
      </c>
      <c r="Y2" s="93" t="s">
        <v>53</v>
      </c>
      <c r="Z2" s="93" t="s">
        <v>54</v>
      </c>
      <c r="AA2" s="93" t="s">
        <v>50</v>
      </c>
      <c r="AB2" s="93" t="s">
        <v>51</v>
      </c>
      <c r="AC2" s="93" t="s">
        <v>52</v>
      </c>
      <c r="AD2" s="93" t="s">
        <v>53</v>
      </c>
      <c r="AE2" s="93" t="s">
        <v>54</v>
      </c>
      <c r="AF2" s="93" t="s">
        <v>50</v>
      </c>
      <c r="AG2" s="93" t="s">
        <v>51</v>
      </c>
      <c r="AH2" s="93" t="s">
        <v>52</v>
      </c>
      <c r="AI2" s="93" t="s">
        <v>53</v>
      </c>
      <c r="AJ2" s="93" t="s">
        <v>54</v>
      </c>
      <c r="AK2" s="93" t="s">
        <v>50</v>
      </c>
      <c r="AL2" s="93" t="s">
        <v>51</v>
      </c>
      <c r="AM2" s="93" t="s">
        <v>52</v>
      </c>
      <c r="AN2" s="93" t="s">
        <v>53</v>
      </c>
      <c r="AO2" s="93" t="s">
        <v>54</v>
      </c>
      <c r="AP2" s="93" t="s">
        <v>50</v>
      </c>
      <c r="AQ2" s="93" t="s">
        <v>51</v>
      </c>
      <c r="AR2" s="93" t="s">
        <v>52</v>
      </c>
      <c r="AS2" s="93" t="s">
        <v>53</v>
      </c>
      <c r="AT2" s="93" t="s">
        <v>54</v>
      </c>
      <c r="AU2" s="93" t="s">
        <v>50</v>
      </c>
      <c r="AV2" s="93" t="s">
        <v>51</v>
      </c>
      <c r="AW2" s="93" t="s">
        <v>52</v>
      </c>
      <c r="AX2" s="93" t="s">
        <v>53</v>
      </c>
      <c r="AY2" s="93" t="s">
        <v>54</v>
      </c>
      <c r="AZ2" s="93" t="s">
        <v>50</v>
      </c>
      <c r="BA2" s="93" t="s">
        <v>51</v>
      </c>
      <c r="BB2" s="93" t="s">
        <v>52</v>
      </c>
      <c r="BC2" s="93" t="s">
        <v>53</v>
      </c>
      <c r="BD2" s="93" t="s">
        <v>54</v>
      </c>
      <c r="BE2" s="93" t="s">
        <v>50</v>
      </c>
      <c r="BF2" s="93" t="s">
        <v>51</v>
      </c>
      <c r="BG2" s="93" t="s">
        <v>52</v>
      </c>
      <c r="BH2" s="93" t="s">
        <v>53</v>
      </c>
      <c r="BI2" s="93" t="s">
        <v>54</v>
      </c>
      <c r="BJ2" s="93" t="s">
        <v>50</v>
      </c>
      <c r="BK2" s="93" t="s">
        <v>51</v>
      </c>
      <c r="BL2" s="93" t="s">
        <v>52</v>
      </c>
      <c r="BM2" s="93" t="s">
        <v>53</v>
      </c>
      <c r="BN2" s="93" t="s">
        <v>54</v>
      </c>
      <c r="BO2" s="93" t="s">
        <v>50</v>
      </c>
      <c r="BP2" s="93" t="s">
        <v>51</v>
      </c>
      <c r="BQ2" s="93" t="s">
        <v>52</v>
      </c>
      <c r="BR2" s="93" t="s">
        <v>53</v>
      </c>
      <c r="BS2" s="93" t="s">
        <v>54</v>
      </c>
      <c r="BT2" s="93" t="s">
        <v>50</v>
      </c>
      <c r="BU2" s="93" t="s">
        <v>51</v>
      </c>
      <c r="BV2" s="93" t="s">
        <v>52</v>
      </c>
      <c r="BW2" s="93" t="s">
        <v>53</v>
      </c>
      <c r="BX2" s="93" t="s">
        <v>54</v>
      </c>
      <c r="BY2" s="93" t="s">
        <v>50</v>
      </c>
      <c r="BZ2" s="93" t="s">
        <v>51</v>
      </c>
      <c r="CA2" s="93" t="s">
        <v>52</v>
      </c>
      <c r="CB2" s="93" t="s">
        <v>53</v>
      </c>
      <c r="CC2" s="93" t="s">
        <v>54</v>
      </c>
      <c r="CD2" s="93" t="s">
        <v>50</v>
      </c>
      <c r="CE2" s="93" t="s">
        <v>51</v>
      </c>
      <c r="CF2" s="93" t="s">
        <v>52</v>
      </c>
      <c r="CG2" s="93" t="s">
        <v>53</v>
      </c>
      <c r="CH2" s="93" t="s">
        <v>54</v>
      </c>
      <c r="CI2" s="93" t="s">
        <v>50</v>
      </c>
      <c r="CJ2" s="93" t="s">
        <v>51</v>
      </c>
      <c r="CK2" s="93" t="s">
        <v>52</v>
      </c>
      <c r="CL2" s="93" t="s">
        <v>53</v>
      </c>
      <c r="CM2" s="93" t="s">
        <v>54</v>
      </c>
      <c r="CN2" s="225" t="s">
        <v>50</v>
      </c>
      <c r="CO2" s="93" t="s">
        <v>51</v>
      </c>
      <c r="CP2" s="93" t="s">
        <v>52</v>
      </c>
      <c r="CQ2" s="93" t="s">
        <v>53</v>
      </c>
      <c r="CR2" s="93" t="s">
        <v>54</v>
      </c>
      <c r="CS2" s="108" t="s">
        <v>50</v>
      </c>
      <c r="CT2" s="108" t="s">
        <v>51</v>
      </c>
      <c r="CU2" s="108" t="s">
        <v>52</v>
      </c>
      <c r="CV2" s="108" t="s">
        <v>53</v>
      </c>
      <c r="CW2" s="108" t="s">
        <v>54</v>
      </c>
      <c r="CX2" s="108" t="s">
        <v>50</v>
      </c>
      <c r="CY2" s="108" t="s">
        <v>51</v>
      </c>
      <c r="CZ2" s="108" t="s">
        <v>52</v>
      </c>
      <c r="DA2" s="108" t="s">
        <v>53</v>
      </c>
      <c r="DB2" s="108" t="s">
        <v>54</v>
      </c>
      <c r="DC2" s="93" t="s">
        <v>50</v>
      </c>
      <c r="DD2" s="93" t="s">
        <v>51</v>
      </c>
      <c r="DE2" s="93" t="s">
        <v>52</v>
      </c>
      <c r="DF2" s="93" t="s">
        <v>53</v>
      </c>
      <c r="DG2" s="93" t="s">
        <v>54</v>
      </c>
      <c r="DH2" s="93" t="s">
        <v>50</v>
      </c>
      <c r="DI2" s="93" t="s">
        <v>51</v>
      </c>
      <c r="DJ2" s="93" t="s">
        <v>52</v>
      </c>
      <c r="DK2" s="93" t="s">
        <v>53</v>
      </c>
      <c r="DL2" s="93" t="s">
        <v>54</v>
      </c>
      <c r="DM2" s="93" t="s">
        <v>50</v>
      </c>
      <c r="DN2" s="93" t="s">
        <v>51</v>
      </c>
      <c r="DO2" s="93" t="s">
        <v>52</v>
      </c>
      <c r="DP2" s="93" t="s">
        <v>53</v>
      </c>
      <c r="DQ2" s="93" t="s">
        <v>54</v>
      </c>
      <c r="DR2" s="93" t="s">
        <v>50</v>
      </c>
      <c r="DS2" s="93" t="s">
        <v>51</v>
      </c>
      <c r="DT2" s="93" t="s">
        <v>52</v>
      </c>
      <c r="DU2" s="93" t="s">
        <v>53</v>
      </c>
      <c r="DV2" s="93" t="s">
        <v>54</v>
      </c>
      <c r="DW2" s="93" t="s">
        <v>50</v>
      </c>
      <c r="DX2" s="93" t="s">
        <v>51</v>
      </c>
      <c r="DY2" s="93" t="s">
        <v>52</v>
      </c>
      <c r="DZ2" s="93" t="s">
        <v>53</v>
      </c>
      <c r="EA2" s="93" t="s">
        <v>54</v>
      </c>
      <c r="EB2" s="93" t="s">
        <v>50</v>
      </c>
      <c r="EC2" s="110" t="s">
        <v>51</v>
      </c>
      <c r="ED2" s="93" t="s">
        <v>52</v>
      </c>
      <c r="EE2" s="93" t="s">
        <v>53</v>
      </c>
      <c r="EF2" s="110" t="s">
        <v>54</v>
      </c>
      <c r="EG2" s="93" t="s">
        <v>50</v>
      </c>
      <c r="EH2" s="93" t="s">
        <v>51</v>
      </c>
      <c r="EI2" s="93" t="s">
        <v>52</v>
      </c>
      <c r="EJ2" s="93" t="s">
        <v>53</v>
      </c>
      <c r="EK2" s="93" t="s">
        <v>54</v>
      </c>
      <c r="EL2" s="93" t="s">
        <v>50</v>
      </c>
      <c r="EM2" s="110" t="s">
        <v>51</v>
      </c>
      <c r="EN2" s="93" t="s">
        <v>52</v>
      </c>
      <c r="EO2" s="93" t="s">
        <v>53</v>
      </c>
      <c r="EP2" s="110" t="s">
        <v>54</v>
      </c>
      <c r="EQ2" s="93" t="s">
        <v>50</v>
      </c>
      <c r="ER2" s="93" t="s">
        <v>51</v>
      </c>
      <c r="ES2" s="93" t="s">
        <v>52</v>
      </c>
      <c r="ET2" s="93" t="s">
        <v>53</v>
      </c>
      <c r="EU2" s="93" t="s">
        <v>54</v>
      </c>
      <c r="EV2" s="93" t="s">
        <v>50</v>
      </c>
      <c r="EW2" s="110" t="s">
        <v>51</v>
      </c>
      <c r="EX2" s="93" t="s">
        <v>52</v>
      </c>
      <c r="EY2" s="110" t="s">
        <v>53</v>
      </c>
      <c r="EZ2" s="93" t="s">
        <v>54</v>
      </c>
      <c r="FA2" s="93" t="s">
        <v>50</v>
      </c>
      <c r="FB2" s="93" t="s">
        <v>51</v>
      </c>
      <c r="FC2" s="93" t="s">
        <v>52</v>
      </c>
      <c r="FD2" s="93" t="s">
        <v>53</v>
      </c>
      <c r="FE2" s="93" t="s">
        <v>54</v>
      </c>
      <c r="FF2" s="93" t="s">
        <v>50</v>
      </c>
      <c r="FG2" s="93" t="s">
        <v>51</v>
      </c>
      <c r="FH2" s="93" t="s">
        <v>52</v>
      </c>
      <c r="FI2" s="93" t="s">
        <v>53</v>
      </c>
      <c r="FJ2" s="93" t="s">
        <v>54</v>
      </c>
      <c r="FK2" s="93" t="s">
        <v>50</v>
      </c>
      <c r="FL2" s="93" t="s">
        <v>51</v>
      </c>
      <c r="FM2" s="93" t="s">
        <v>52</v>
      </c>
      <c r="FN2" s="93" t="s">
        <v>53</v>
      </c>
      <c r="FO2" s="93" t="s">
        <v>54</v>
      </c>
      <c r="FP2" s="93" t="s">
        <v>50</v>
      </c>
      <c r="FQ2" s="93" t="s">
        <v>51</v>
      </c>
      <c r="FR2" s="93" t="s">
        <v>52</v>
      </c>
      <c r="FS2" s="93" t="s">
        <v>53</v>
      </c>
      <c r="FT2" s="93" t="s">
        <v>54</v>
      </c>
      <c r="FU2" s="93" t="s">
        <v>50</v>
      </c>
      <c r="FV2" s="93" t="s">
        <v>51</v>
      </c>
      <c r="FW2" s="93" t="s">
        <v>52</v>
      </c>
      <c r="FX2" s="93" t="s">
        <v>53</v>
      </c>
      <c r="FY2" s="93" t="s">
        <v>54</v>
      </c>
      <c r="FZ2" s="110" t="s">
        <v>50</v>
      </c>
      <c r="GA2" s="93" t="s">
        <v>51</v>
      </c>
      <c r="GB2" s="93" t="s">
        <v>52</v>
      </c>
      <c r="GC2" s="93" t="s">
        <v>53</v>
      </c>
      <c r="GD2" s="93" t="s">
        <v>54</v>
      </c>
      <c r="GE2" s="93" t="s">
        <v>50</v>
      </c>
      <c r="GF2" s="93" t="s">
        <v>51</v>
      </c>
      <c r="GG2" s="93" t="s">
        <v>52</v>
      </c>
      <c r="GH2" s="93" t="s">
        <v>53</v>
      </c>
      <c r="GI2" s="93" t="s">
        <v>54</v>
      </c>
      <c r="GJ2" s="93" t="s">
        <v>50</v>
      </c>
      <c r="GK2" s="93" t="s">
        <v>51</v>
      </c>
      <c r="GL2" s="93" t="s">
        <v>52</v>
      </c>
      <c r="GM2" s="93" t="s">
        <v>53</v>
      </c>
      <c r="GN2" s="93" t="s">
        <v>54</v>
      </c>
      <c r="GO2" s="93" t="s">
        <v>50</v>
      </c>
      <c r="GP2" s="93" t="s">
        <v>51</v>
      </c>
      <c r="GQ2" s="93" t="s">
        <v>52</v>
      </c>
      <c r="GR2" s="93" t="s">
        <v>53</v>
      </c>
      <c r="GS2" s="93" t="s">
        <v>54</v>
      </c>
      <c r="GT2" s="93" t="s">
        <v>50</v>
      </c>
      <c r="GU2" s="93" t="s">
        <v>51</v>
      </c>
      <c r="GV2" s="93" t="s">
        <v>52</v>
      </c>
      <c r="GW2" s="93" t="s">
        <v>53</v>
      </c>
      <c r="GX2" s="93" t="s">
        <v>54</v>
      </c>
      <c r="GY2" s="93" t="s">
        <v>50</v>
      </c>
      <c r="GZ2" s="93" t="s">
        <v>51</v>
      </c>
      <c r="HA2" s="93" t="s">
        <v>52</v>
      </c>
      <c r="HB2" s="93" t="s">
        <v>53</v>
      </c>
      <c r="HC2" s="93" t="s">
        <v>54</v>
      </c>
      <c r="HD2" s="93" t="s">
        <v>50</v>
      </c>
      <c r="HE2" s="108" t="s">
        <v>51</v>
      </c>
      <c r="HF2" s="108" t="s">
        <v>52</v>
      </c>
      <c r="HG2" s="108" t="s">
        <v>53</v>
      </c>
      <c r="HH2" s="108" t="s">
        <v>54</v>
      </c>
      <c r="HI2" s="93" t="s">
        <v>50</v>
      </c>
      <c r="HJ2" s="93" t="s">
        <v>51</v>
      </c>
      <c r="HK2" s="93" t="s">
        <v>52</v>
      </c>
      <c r="HL2" s="93" t="s">
        <v>53</v>
      </c>
      <c r="HM2" s="641" t="s">
        <v>54</v>
      </c>
      <c r="HN2" s="93" t="s">
        <v>50</v>
      </c>
      <c r="HO2" s="93" t="s">
        <v>51</v>
      </c>
      <c r="HP2" s="93" t="s">
        <v>52</v>
      </c>
      <c r="HQ2" s="93" t="s">
        <v>53</v>
      </c>
      <c r="HR2" s="93" t="s">
        <v>54</v>
      </c>
      <c r="HS2" s="93" t="s">
        <v>50</v>
      </c>
      <c r="HT2" s="93" t="s">
        <v>51</v>
      </c>
      <c r="HU2" s="93" t="s">
        <v>52</v>
      </c>
      <c r="HV2" s="93" t="s">
        <v>53</v>
      </c>
      <c r="HW2" s="93" t="s">
        <v>54</v>
      </c>
      <c r="HX2" s="93" t="s">
        <v>50</v>
      </c>
      <c r="HY2" s="93" t="s">
        <v>51</v>
      </c>
      <c r="HZ2" s="93" t="s">
        <v>52</v>
      </c>
      <c r="IA2" s="93" t="s">
        <v>53</v>
      </c>
      <c r="IB2" s="93" t="s">
        <v>54</v>
      </c>
      <c r="IC2" s="93" t="s">
        <v>50</v>
      </c>
      <c r="ID2" s="93" t="s">
        <v>51</v>
      </c>
      <c r="IE2" s="93" t="s">
        <v>52</v>
      </c>
      <c r="IF2" s="93" t="s">
        <v>53</v>
      </c>
      <c r="IG2" s="93" t="s">
        <v>54</v>
      </c>
      <c r="IH2" s="93" t="s">
        <v>50</v>
      </c>
      <c r="II2" s="93" t="s">
        <v>51</v>
      </c>
      <c r="IJ2" s="93" t="s">
        <v>52</v>
      </c>
      <c r="IK2" s="110" t="s">
        <v>53</v>
      </c>
      <c r="IL2" s="93" t="s">
        <v>54</v>
      </c>
      <c r="IM2" s="93" t="s">
        <v>50</v>
      </c>
      <c r="IN2" s="93" t="s">
        <v>51</v>
      </c>
      <c r="IO2" s="93" t="s">
        <v>52</v>
      </c>
      <c r="IP2" s="93" t="s">
        <v>53</v>
      </c>
      <c r="IQ2" s="93" t="s">
        <v>54</v>
      </c>
      <c r="IR2" s="93" t="s">
        <v>50</v>
      </c>
      <c r="IS2" s="93" t="s">
        <v>51</v>
      </c>
      <c r="IT2" s="93" t="s">
        <v>52</v>
      </c>
      <c r="IU2" s="93" t="s">
        <v>53</v>
      </c>
      <c r="IV2" s="93" t="s">
        <v>54</v>
      </c>
      <c r="IW2" s="93" t="s">
        <v>50</v>
      </c>
      <c r="IX2" s="93" t="s">
        <v>51</v>
      </c>
      <c r="IY2" s="93" t="s">
        <v>52</v>
      </c>
      <c r="IZ2" s="93" t="s">
        <v>53</v>
      </c>
      <c r="JA2" s="93" t="s">
        <v>54</v>
      </c>
      <c r="JB2" s="93" t="s">
        <v>50</v>
      </c>
      <c r="JC2" s="93" t="s">
        <v>51</v>
      </c>
      <c r="JD2" s="93" t="s">
        <v>52</v>
      </c>
      <c r="JE2" s="93" t="s">
        <v>53</v>
      </c>
      <c r="JF2" s="93" t="s">
        <v>54</v>
      </c>
      <c r="JG2" s="108" t="s">
        <v>50</v>
      </c>
      <c r="JH2" s="108" t="s">
        <v>51</v>
      </c>
      <c r="JI2" s="108" t="s">
        <v>52</v>
      </c>
      <c r="JJ2" s="108" t="s">
        <v>53</v>
      </c>
      <c r="JK2" s="108" t="s">
        <v>54</v>
      </c>
      <c r="JL2" s="108" t="s">
        <v>50</v>
      </c>
      <c r="JM2" s="93" t="s">
        <v>51</v>
      </c>
      <c r="JN2" s="93" t="s">
        <v>52</v>
      </c>
      <c r="JO2" s="93" t="s">
        <v>53</v>
      </c>
      <c r="JP2" s="93" t="s">
        <v>54</v>
      </c>
      <c r="JQ2" s="93" t="s">
        <v>50</v>
      </c>
      <c r="JR2" s="93" t="s">
        <v>51</v>
      </c>
      <c r="JS2" s="93" t="s">
        <v>52</v>
      </c>
      <c r="JT2" s="93" t="s">
        <v>53</v>
      </c>
      <c r="JU2" s="93" t="s">
        <v>54</v>
      </c>
      <c r="JV2" s="93" t="s">
        <v>50</v>
      </c>
      <c r="JW2" s="93" t="s">
        <v>51</v>
      </c>
      <c r="JX2" s="93" t="s">
        <v>52</v>
      </c>
      <c r="JY2" s="93" t="s">
        <v>53</v>
      </c>
      <c r="JZ2" s="93" t="s">
        <v>54</v>
      </c>
      <c r="KA2" s="93" t="s">
        <v>50</v>
      </c>
      <c r="KB2" s="93" t="s">
        <v>51</v>
      </c>
      <c r="KC2" s="93" t="s">
        <v>52</v>
      </c>
      <c r="KD2" s="93" t="s">
        <v>53</v>
      </c>
      <c r="KE2" s="108" t="s">
        <v>54</v>
      </c>
      <c r="KF2" s="108" t="s">
        <v>50</v>
      </c>
      <c r="KG2" s="108" t="s">
        <v>51</v>
      </c>
      <c r="KH2" s="108" t="s">
        <v>52</v>
      </c>
      <c r="KI2" s="108" t="s">
        <v>53</v>
      </c>
      <c r="KJ2" s="108" t="s">
        <v>54</v>
      </c>
      <c r="KK2" s="108" t="s">
        <v>50</v>
      </c>
      <c r="KL2" s="108" t="s">
        <v>51</v>
      </c>
      <c r="KM2" s="108" t="s">
        <v>52</v>
      </c>
      <c r="KN2" s="108" t="s">
        <v>53</v>
      </c>
      <c r="KO2" s="108" t="s">
        <v>54</v>
      </c>
      <c r="KP2" s="108" t="s">
        <v>50</v>
      </c>
      <c r="KQ2" s="108" t="s">
        <v>51</v>
      </c>
      <c r="KR2" s="108" t="s">
        <v>52</v>
      </c>
      <c r="KS2" s="108" t="s">
        <v>53</v>
      </c>
      <c r="KT2" s="108" t="s">
        <v>54</v>
      </c>
      <c r="KU2" s="108" t="s">
        <v>50</v>
      </c>
      <c r="KV2" s="108" t="s">
        <v>51</v>
      </c>
      <c r="KW2" s="108" t="s">
        <v>52</v>
      </c>
      <c r="KX2" s="108" t="s">
        <v>53</v>
      </c>
      <c r="KY2" s="108" t="s">
        <v>54</v>
      </c>
      <c r="KZ2" s="108" t="s">
        <v>50</v>
      </c>
      <c r="LA2" s="108" t="s">
        <v>51</v>
      </c>
      <c r="LB2" s="108" t="s">
        <v>52</v>
      </c>
      <c r="LC2" s="108" t="s">
        <v>53</v>
      </c>
      <c r="LD2" s="108" t="s">
        <v>54</v>
      </c>
      <c r="LE2" s="108" t="s">
        <v>50</v>
      </c>
      <c r="LF2" s="108" t="s">
        <v>51</v>
      </c>
      <c r="LG2" s="108" t="s">
        <v>52</v>
      </c>
      <c r="LH2" s="108" t="s">
        <v>53</v>
      </c>
      <c r="LI2" s="108" t="s">
        <v>54</v>
      </c>
      <c r="LJ2" s="108" t="s">
        <v>50</v>
      </c>
      <c r="LK2" s="108" t="s">
        <v>51</v>
      </c>
      <c r="LL2" s="108" t="s">
        <v>52</v>
      </c>
      <c r="LM2" s="108" t="s">
        <v>53</v>
      </c>
      <c r="LN2" s="108" t="s">
        <v>54</v>
      </c>
      <c r="LO2" s="108" t="s">
        <v>50</v>
      </c>
      <c r="LP2" s="108" t="s">
        <v>51</v>
      </c>
      <c r="LQ2" s="108" t="s">
        <v>52</v>
      </c>
      <c r="LR2" s="108" t="s">
        <v>53</v>
      </c>
      <c r="LS2" s="108" t="s">
        <v>54</v>
      </c>
      <c r="LT2" s="108" t="s">
        <v>50</v>
      </c>
      <c r="LU2" s="108" t="s">
        <v>51</v>
      </c>
      <c r="LV2" s="108" t="s">
        <v>52</v>
      </c>
      <c r="LW2" s="108" t="s">
        <v>53</v>
      </c>
      <c r="LX2" s="108" t="s">
        <v>54</v>
      </c>
      <c r="LY2" s="108" t="s">
        <v>50</v>
      </c>
      <c r="LZ2" s="108" t="s">
        <v>51</v>
      </c>
      <c r="MA2" s="108" t="s">
        <v>52</v>
      </c>
      <c r="MB2" s="108" t="s">
        <v>53</v>
      </c>
      <c r="MC2" s="108" t="s">
        <v>54</v>
      </c>
      <c r="MD2" s="108" t="s">
        <v>50</v>
      </c>
      <c r="ME2" s="108" t="s">
        <v>51</v>
      </c>
      <c r="MF2" s="108" t="s">
        <v>52</v>
      </c>
      <c r="MG2" s="108" t="s">
        <v>53</v>
      </c>
      <c r="MH2" s="108" t="s">
        <v>54</v>
      </c>
      <c r="MI2" s="108" t="s">
        <v>50</v>
      </c>
      <c r="MJ2" s="108" t="s">
        <v>51</v>
      </c>
      <c r="MK2" s="108" t="s">
        <v>52</v>
      </c>
      <c r="ML2" s="108" t="s">
        <v>53</v>
      </c>
      <c r="MM2" s="108" t="s">
        <v>54</v>
      </c>
      <c r="MN2" s="108" t="s">
        <v>50</v>
      </c>
      <c r="MO2" s="108" t="s">
        <v>51</v>
      </c>
      <c r="MP2" s="108" t="s">
        <v>52</v>
      </c>
      <c r="MQ2" s="108" t="s">
        <v>53</v>
      </c>
      <c r="MR2" s="108" t="s">
        <v>54</v>
      </c>
      <c r="MS2" s="108" t="s">
        <v>50</v>
      </c>
      <c r="MT2" s="108" t="s">
        <v>51</v>
      </c>
      <c r="MU2" s="108" t="s">
        <v>52</v>
      </c>
      <c r="MV2" s="108" t="s">
        <v>53</v>
      </c>
      <c r="MW2" s="108" t="s">
        <v>54</v>
      </c>
      <c r="MX2" s="108" t="s">
        <v>50</v>
      </c>
      <c r="MY2" s="108" t="s">
        <v>51</v>
      </c>
      <c r="MZ2" s="108" t="s">
        <v>52</v>
      </c>
      <c r="NA2" s="108" t="s">
        <v>53</v>
      </c>
      <c r="NB2" s="108" t="s">
        <v>54</v>
      </c>
    </row>
    <row r="3" spans="1:387" s="25" customFormat="1" ht="119.25" customHeight="1">
      <c r="A3" s="220" t="s">
        <v>31</v>
      </c>
      <c r="B3" s="36" t="s">
        <v>1309</v>
      </c>
      <c r="C3" s="36" t="s">
        <v>1309</v>
      </c>
      <c r="D3" s="118" t="s">
        <v>842</v>
      </c>
      <c r="E3" s="118" t="s">
        <v>842</v>
      </c>
      <c r="F3" s="36" t="s">
        <v>1309</v>
      </c>
      <c r="G3" s="36" t="s">
        <v>1309</v>
      </c>
      <c r="H3" s="90" t="s">
        <v>837</v>
      </c>
      <c r="I3" s="90" t="s">
        <v>837</v>
      </c>
      <c r="J3" s="122" t="s">
        <v>941</v>
      </c>
      <c r="K3" s="90" t="s">
        <v>837</v>
      </c>
      <c r="L3" s="90" t="s">
        <v>838</v>
      </c>
      <c r="M3" s="90" t="s">
        <v>838</v>
      </c>
      <c r="N3" s="90" t="s">
        <v>838</v>
      </c>
      <c r="O3" s="90" t="s">
        <v>838</v>
      </c>
      <c r="P3" s="90" t="s">
        <v>838</v>
      </c>
      <c r="Q3" s="118" t="s">
        <v>842</v>
      </c>
      <c r="R3" s="118" t="s">
        <v>842</v>
      </c>
      <c r="S3" s="90" t="s">
        <v>838</v>
      </c>
      <c r="T3" s="90" t="s">
        <v>838</v>
      </c>
      <c r="U3" s="90" t="s">
        <v>838</v>
      </c>
      <c r="V3" s="90" t="s">
        <v>838</v>
      </c>
      <c r="W3" s="90" t="s">
        <v>838</v>
      </c>
      <c r="X3" s="90" t="s">
        <v>838</v>
      </c>
      <c r="Y3" s="90" t="s">
        <v>838</v>
      </c>
      <c r="Z3" s="90" t="s">
        <v>838</v>
      </c>
      <c r="AA3" s="36" t="s">
        <v>1310</v>
      </c>
      <c r="AB3" s="125" t="s">
        <v>852</v>
      </c>
      <c r="AC3" s="36" t="s">
        <v>1311</v>
      </c>
      <c r="AD3" s="36" t="s">
        <v>1311</v>
      </c>
      <c r="AE3" s="36" t="s">
        <v>1311</v>
      </c>
      <c r="AF3" s="125" t="s">
        <v>18</v>
      </c>
      <c r="AG3" s="36" t="s">
        <v>1312</v>
      </c>
      <c r="AH3" s="36" t="s">
        <v>741</v>
      </c>
      <c r="AI3" s="36" t="s">
        <v>741</v>
      </c>
      <c r="AJ3" s="36" t="s">
        <v>741</v>
      </c>
      <c r="AK3" s="36" t="s">
        <v>741</v>
      </c>
      <c r="AL3" s="36" t="s">
        <v>741</v>
      </c>
      <c r="AM3" s="36" t="s">
        <v>1312</v>
      </c>
      <c r="AN3" s="56" t="s">
        <v>1313</v>
      </c>
      <c r="AO3" s="125" t="s">
        <v>18</v>
      </c>
      <c r="AP3" s="36" t="s">
        <v>1312</v>
      </c>
      <c r="AQ3" s="36" t="s">
        <v>1314</v>
      </c>
      <c r="AR3" s="36" t="s">
        <v>1312</v>
      </c>
      <c r="AS3" s="36" t="s">
        <v>1312</v>
      </c>
      <c r="AT3" s="36" t="s">
        <v>1315</v>
      </c>
      <c r="AU3" s="36" t="s">
        <v>1315</v>
      </c>
      <c r="AV3" s="36" t="s">
        <v>1315</v>
      </c>
      <c r="AW3" s="125" t="s">
        <v>18</v>
      </c>
      <c r="AX3" s="36" t="s">
        <v>1316</v>
      </c>
      <c r="AY3" s="36" t="s">
        <v>1316</v>
      </c>
      <c r="AZ3" s="36" t="s">
        <v>1316</v>
      </c>
      <c r="BA3" s="36" t="s">
        <v>1316</v>
      </c>
      <c r="BB3" s="36" t="s">
        <v>1316</v>
      </c>
      <c r="BC3" s="36" t="s">
        <v>1316</v>
      </c>
      <c r="BD3" s="36" t="s">
        <v>1316</v>
      </c>
      <c r="BE3" s="219" t="s">
        <v>1317</v>
      </c>
      <c r="BF3" s="124" t="s">
        <v>1318</v>
      </c>
      <c r="BG3" s="36" t="s">
        <v>1319</v>
      </c>
      <c r="BH3" s="36" t="s">
        <v>1319</v>
      </c>
      <c r="BI3" s="36" t="s">
        <v>1319</v>
      </c>
      <c r="BJ3" s="36" t="s">
        <v>1320</v>
      </c>
      <c r="BK3" s="36" t="s">
        <v>1320</v>
      </c>
      <c r="BL3" s="36" t="s">
        <v>1319</v>
      </c>
      <c r="BM3" s="125" t="s">
        <v>842</v>
      </c>
      <c r="BN3" s="36" t="s">
        <v>1321</v>
      </c>
      <c r="BO3" s="36" t="s">
        <v>1321</v>
      </c>
      <c r="BP3" s="125" t="s">
        <v>18</v>
      </c>
      <c r="BQ3" s="125" t="s">
        <v>18</v>
      </c>
      <c r="BR3" s="118" t="s">
        <v>1322</v>
      </c>
      <c r="BS3" s="125" t="s">
        <v>18</v>
      </c>
      <c r="BT3" s="161" t="s">
        <v>1077</v>
      </c>
      <c r="BU3" s="161" t="s">
        <v>1077</v>
      </c>
      <c r="BV3" s="36" t="s">
        <v>102</v>
      </c>
      <c r="BW3" s="36" t="s">
        <v>102</v>
      </c>
      <c r="BX3" s="36" t="s">
        <v>102</v>
      </c>
      <c r="BY3" s="36" t="s">
        <v>102</v>
      </c>
      <c r="BZ3" s="36" t="s">
        <v>102</v>
      </c>
      <c r="CA3" s="36" t="s">
        <v>252</v>
      </c>
      <c r="CB3" s="125" t="s">
        <v>1323</v>
      </c>
      <c r="CC3" s="36" t="s">
        <v>252</v>
      </c>
      <c r="CD3" s="36" t="s">
        <v>1324</v>
      </c>
      <c r="CE3" s="36" t="s">
        <v>1324</v>
      </c>
      <c r="CF3" s="36" t="s">
        <v>1324</v>
      </c>
      <c r="CG3" s="36" t="s">
        <v>1324</v>
      </c>
      <c r="CH3" s="36" t="s">
        <v>1324</v>
      </c>
      <c r="CI3" s="118" t="s">
        <v>1325</v>
      </c>
      <c r="CJ3" s="124" t="s">
        <v>1326</v>
      </c>
      <c r="CK3" s="36" t="s">
        <v>1324</v>
      </c>
      <c r="CL3" s="36" t="s">
        <v>1327</v>
      </c>
      <c r="CM3" s="36" t="s">
        <v>1328</v>
      </c>
      <c r="CN3" s="164" t="s">
        <v>1329</v>
      </c>
      <c r="CO3" s="31" t="s">
        <v>1330</v>
      </c>
      <c r="CP3" s="116" t="s">
        <v>1331</v>
      </c>
      <c r="CQ3" s="116" t="s">
        <v>1331</v>
      </c>
      <c r="CR3" s="116" t="s">
        <v>1331</v>
      </c>
      <c r="CS3" s="36" t="s">
        <v>27</v>
      </c>
      <c r="CT3" s="13" t="s">
        <v>1332</v>
      </c>
      <c r="CU3" s="13" t="s">
        <v>1332</v>
      </c>
      <c r="CV3" s="13" t="s">
        <v>1332</v>
      </c>
      <c r="CW3" s="13" t="s">
        <v>1332</v>
      </c>
      <c r="CX3" s="13" t="s">
        <v>1332</v>
      </c>
      <c r="CY3" s="21" t="s">
        <v>1333</v>
      </c>
      <c r="CZ3" s="31" t="s">
        <v>1334</v>
      </c>
      <c r="DA3" s="241" t="s">
        <v>1335</v>
      </c>
      <c r="DB3" s="241" t="s">
        <v>1335</v>
      </c>
      <c r="DC3" s="36" t="s">
        <v>1336</v>
      </c>
      <c r="DD3" s="36" t="s">
        <v>1336</v>
      </c>
      <c r="DE3" s="36" t="s">
        <v>1336</v>
      </c>
      <c r="DF3" s="36" t="s">
        <v>1336</v>
      </c>
      <c r="DG3" s="36" t="s">
        <v>1336</v>
      </c>
      <c r="DH3" s="36" t="s">
        <v>1336</v>
      </c>
      <c r="DI3" s="36" t="s">
        <v>1336</v>
      </c>
      <c r="DJ3" s="116" t="s">
        <v>1337</v>
      </c>
      <c r="DK3" s="36" t="s">
        <v>1338</v>
      </c>
      <c r="DL3" s="116" t="s">
        <v>1339</v>
      </c>
      <c r="DM3" s="229" t="s">
        <v>1338</v>
      </c>
      <c r="DN3" s="36" t="s">
        <v>1338</v>
      </c>
      <c r="DO3" s="165" t="s">
        <v>1340</v>
      </c>
      <c r="DP3" s="36" t="s">
        <v>1338</v>
      </c>
      <c r="DQ3" s="36" t="s">
        <v>1338</v>
      </c>
      <c r="DR3" s="36" t="s">
        <v>1341</v>
      </c>
      <c r="DS3" s="36" t="s">
        <v>1341</v>
      </c>
      <c r="DT3" s="105" t="s">
        <v>1342</v>
      </c>
      <c r="DU3" s="98" t="s">
        <v>1343</v>
      </c>
      <c r="DV3" s="105" t="s">
        <v>1342</v>
      </c>
      <c r="DW3" s="105" t="s">
        <v>1342</v>
      </c>
      <c r="DX3" s="152" t="s">
        <v>1344</v>
      </c>
      <c r="DY3" s="105" t="s">
        <v>1342</v>
      </c>
      <c r="DZ3" s="105" t="s">
        <v>1342</v>
      </c>
      <c r="EA3" s="230" t="s">
        <v>1345</v>
      </c>
      <c r="EB3" s="250" t="s">
        <v>1346</v>
      </c>
      <c r="EC3" s="230" t="s">
        <v>1345</v>
      </c>
      <c r="ED3" s="230" t="s">
        <v>1345</v>
      </c>
      <c r="EE3" s="230" t="s">
        <v>1345</v>
      </c>
      <c r="EF3" s="230" t="s">
        <v>1345</v>
      </c>
      <c r="EG3" s="230" t="s">
        <v>1347</v>
      </c>
      <c r="EH3" s="230" t="s">
        <v>1345</v>
      </c>
      <c r="EI3" s="288" t="s">
        <v>1348</v>
      </c>
      <c r="EJ3" s="230" t="s">
        <v>1345</v>
      </c>
      <c r="EK3" s="36" t="s">
        <v>875</v>
      </c>
      <c r="EL3" s="36" t="s">
        <v>875</v>
      </c>
      <c r="EM3" s="36" t="s">
        <v>877</v>
      </c>
      <c r="EN3" s="329" t="s">
        <v>18</v>
      </c>
      <c r="EO3" s="36" t="s">
        <v>877</v>
      </c>
      <c r="EP3" s="36" t="s">
        <v>877</v>
      </c>
      <c r="EQ3" s="36" t="s">
        <v>877</v>
      </c>
      <c r="ER3" s="36" t="s">
        <v>877</v>
      </c>
      <c r="ES3" s="36" t="s">
        <v>1349</v>
      </c>
      <c r="ET3" s="36" t="s">
        <v>1350</v>
      </c>
      <c r="EU3" s="36" t="s">
        <v>1350</v>
      </c>
      <c r="EV3" s="36" t="s">
        <v>1351</v>
      </c>
      <c r="EW3" s="36" t="s">
        <v>1352</v>
      </c>
      <c r="EX3" s="36" t="s">
        <v>1353</v>
      </c>
      <c r="EY3" s="36" t="s">
        <v>1353</v>
      </c>
      <c r="EZ3" s="329" t="s">
        <v>1093</v>
      </c>
      <c r="FA3" s="329" t="s">
        <v>18</v>
      </c>
      <c r="FB3" s="36" t="s">
        <v>1353</v>
      </c>
      <c r="FC3" s="36" t="s">
        <v>1354</v>
      </c>
      <c r="FD3" s="36" t="s">
        <v>1354</v>
      </c>
      <c r="FE3" s="148" t="s">
        <v>1355</v>
      </c>
      <c r="FF3" s="148" t="s">
        <v>1355</v>
      </c>
      <c r="FG3" s="148" t="s">
        <v>1355</v>
      </c>
      <c r="FH3" s="152" t="s">
        <v>1356</v>
      </c>
      <c r="FI3" s="152" t="s">
        <v>1357</v>
      </c>
      <c r="FJ3" s="36" t="s">
        <v>1358</v>
      </c>
      <c r="FK3" s="328" t="s">
        <v>852</v>
      </c>
      <c r="FL3" s="328" t="s">
        <v>852</v>
      </c>
      <c r="FM3" s="222" t="s">
        <v>891</v>
      </c>
      <c r="FN3" s="222" t="s">
        <v>891</v>
      </c>
      <c r="FO3" s="36" t="s">
        <v>1359</v>
      </c>
      <c r="FP3" s="36" t="s">
        <v>1359</v>
      </c>
      <c r="FQ3" s="36" t="s">
        <v>1359</v>
      </c>
      <c r="FR3" s="36" t="s">
        <v>1359</v>
      </c>
      <c r="FS3" s="326" t="s">
        <v>1360</v>
      </c>
      <c r="FT3" s="327" t="s">
        <v>18</v>
      </c>
      <c r="FU3" s="36" t="s">
        <v>1359</v>
      </c>
      <c r="FV3" s="36" t="s">
        <v>1359</v>
      </c>
      <c r="FW3" s="36" t="s">
        <v>1359</v>
      </c>
      <c r="FX3" s="60" t="s">
        <v>1361</v>
      </c>
      <c r="FY3" s="36" t="s">
        <v>1362</v>
      </c>
      <c r="FZ3" s="36" t="s">
        <v>1359</v>
      </c>
      <c r="GA3" s="36" t="s">
        <v>1363</v>
      </c>
      <c r="GB3" s="36" t="s">
        <v>1363</v>
      </c>
      <c r="GC3" s="36" t="s">
        <v>1363</v>
      </c>
      <c r="GD3" s="36" t="s">
        <v>1364</v>
      </c>
      <c r="GE3" s="36" t="s">
        <v>1364</v>
      </c>
      <c r="GF3" s="36" t="s">
        <v>899</v>
      </c>
      <c r="GG3" s="36" t="s">
        <v>899</v>
      </c>
      <c r="GH3" s="36" t="s">
        <v>1364</v>
      </c>
      <c r="GI3" s="36" t="s">
        <v>1364</v>
      </c>
      <c r="GJ3" s="229" t="s">
        <v>1364</v>
      </c>
      <c r="GK3" s="229" t="s">
        <v>1364</v>
      </c>
      <c r="GL3" s="229" t="s">
        <v>316</v>
      </c>
      <c r="GM3" s="36" t="s">
        <v>1364</v>
      </c>
      <c r="GN3" s="36" t="s">
        <v>1364</v>
      </c>
      <c r="GO3" s="36" t="s">
        <v>1364</v>
      </c>
      <c r="GP3" s="36" t="s">
        <v>1364</v>
      </c>
      <c r="GQ3" s="36" t="s">
        <v>1364</v>
      </c>
      <c r="GR3" s="630" t="s">
        <v>793</v>
      </c>
      <c r="GS3" s="630" t="s">
        <v>793</v>
      </c>
      <c r="GT3" s="36" t="s">
        <v>907</v>
      </c>
      <c r="GU3" s="36" t="s">
        <v>907</v>
      </c>
      <c r="GV3" s="36" t="s">
        <v>1365</v>
      </c>
      <c r="GW3" s="36" t="s">
        <v>1365</v>
      </c>
      <c r="GX3" s="36" t="s">
        <v>1365</v>
      </c>
      <c r="GY3" s="36" t="s">
        <v>1365</v>
      </c>
      <c r="GZ3" s="36" t="s">
        <v>1365</v>
      </c>
      <c r="HA3" s="36" t="s">
        <v>1366</v>
      </c>
      <c r="HB3" s="36" t="s">
        <v>1367</v>
      </c>
      <c r="HC3" s="148" t="s">
        <v>1368</v>
      </c>
      <c r="HD3" s="648" t="s">
        <v>1369</v>
      </c>
      <c r="HE3" s="630" t="s">
        <v>1370</v>
      </c>
      <c r="HF3" s="630" t="s">
        <v>1371</v>
      </c>
      <c r="HG3" s="336" t="s">
        <v>1372</v>
      </c>
      <c r="HH3" s="336" t="s">
        <v>1372</v>
      </c>
      <c r="HI3" s="36" t="s">
        <v>1373</v>
      </c>
      <c r="HJ3" s="165" t="s">
        <v>998</v>
      </c>
      <c r="HK3" s="165" t="s">
        <v>998</v>
      </c>
      <c r="HL3" s="640" t="s">
        <v>998</v>
      </c>
      <c r="HM3" s="258" t="s">
        <v>1374</v>
      </c>
      <c r="HN3" s="258" t="s">
        <v>1374</v>
      </c>
      <c r="HO3" s="672" t="s">
        <v>1375</v>
      </c>
      <c r="HP3" s="672" t="s">
        <v>1375</v>
      </c>
      <c r="HQ3" s="672" t="s">
        <v>1375</v>
      </c>
      <c r="HR3" s="672" t="s">
        <v>1375</v>
      </c>
      <c r="HS3" s="36" t="s">
        <v>1376</v>
      </c>
      <c r="HT3" s="386" t="s">
        <v>852</v>
      </c>
      <c r="HU3" s="36" t="s">
        <v>1376</v>
      </c>
      <c r="HV3" s="36" t="s">
        <v>1376</v>
      </c>
      <c r="HW3" s="36" t="s">
        <v>1377</v>
      </c>
      <c r="HX3" s="36" t="s">
        <v>1377</v>
      </c>
      <c r="HY3" s="36" t="s">
        <v>1377</v>
      </c>
      <c r="HZ3" s="36" t="s">
        <v>1377</v>
      </c>
      <c r="IA3" s="36" t="s">
        <v>1377</v>
      </c>
      <c r="IB3" s="36" t="s">
        <v>1377</v>
      </c>
      <c r="IC3" s="36" t="s">
        <v>1377</v>
      </c>
      <c r="ID3" s="36" t="s">
        <v>1377</v>
      </c>
      <c r="IE3" s="36" t="s">
        <v>1377</v>
      </c>
      <c r="IF3" s="36" t="s">
        <v>1377</v>
      </c>
      <c r="IG3" s="36" t="s">
        <v>1378</v>
      </c>
      <c r="IH3" s="36" t="s">
        <v>1378</v>
      </c>
      <c r="II3" s="146" t="s">
        <v>1379</v>
      </c>
      <c r="IJ3" s="36" t="s">
        <v>1378</v>
      </c>
      <c r="IK3" s="36" t="s">
        <v>1378</v>
      </c>
      <c r="IL3" s="36" t="s">
        <v>1378</v>
      </c>
      <c r="IM3" s="36" t="s">
        <v>1380</v>
      </c>
      <c r="IN3" s="36" t="s">
        <v>1380</v>
      </c>
      <c r="IO3" s="36" t="s">
        <v>1381</v>
      </c>
      <c r="IP3" s="36" t="s">
        <v>1381</v>
      </c>
      <c r="IQ3" s="330" t="s">
        <v>18</v>
      </c>
      <c r="IR3" s="330" t="s">
        <v>1118</v>
      </c>
      <c r="IS3" s="36" t="s">
        <v>1382</v>
      </c>
      <c r="IT3" s="36" t="s">
        <v>1382</v>
      </c>
      <c r="IU3" s="36" t="s">
        <v>1383</v>
      </c>
      <c r="IV3" s="36" t="s">
        <v>1382</v>
      </c>
      <c r="IW3" s="36" t="s">
        <v>1382</v>
      </c>
      <c r="IX3" s="36" t="s">
        <v>1382</v>
      </c>
      <c r="IY3" s="119" t="s">
        <v>1384</v>
      </c>
      <c r="IZ3" s="36" t="s">
        <v>1385</v>
      </c>
      <c r="JA3" s="36" t="s">
        <v>1386</v>
      </c>
      <c r="JB3" s="36" t="s">
        <v>1386</v>
      </c>
      <c r="JC3" s="36" t="s">
        <v>1386</v>
      </c>
      <c r="JD3" s="36" t="s">
        <v>1386</v>
      </c>
      <c r="JE3" s="330" t="s">
        <v>18</v>
      </c>
      <c r="JF3" s="328" t="s">
        <v>1120</v>
      </c>
      <c r="JG3" s="36" t="s">
        <v>1386</v>
      </c>
      <c r="JH3" s="36" t="s">
        <v>1386</v>
      </c>
      <c r="JI3" s="758" t="s">
        <v>1387</v>
      </c>
      <c r="JJ3" s="758" t="s">
        <v>1388</v>
      </c>
      <c r="JK3" s="758" t="s">
        <v>1389</v>
      </c>
      <c r="JL3" s="781" t="s">
        <v>1390</v>
      </c>
      <c r="JM3" s="758" t="s">
        <v>1389</v>
      </c>
      <c r="JN3" s="791" t="s">
        <v>1391</v>
      </c>
      <c r="JO3" s="758" t="s">
        <v>1392</v>
      </c>
      <c r="JP3" s="766" t="s">
        <v>928</v>
      </c>
      <c r="JQ3" s="766" t="s">
        <v>928</v>
      </c>
      <c r="JR3" s="766" t="s">
        <v>928</v>
      </c>
      <c r="JS3" s="330" t="s">
        <v>1122</v>
      </c>
      <c r="JT3" s="766" t="s">
        <v>928</v>
      </c>
      <c r="JU3" s="766" t="s">
        <v>928</v>
      </c>
      <c r="JV3" s="36" t="s">
        <v>1393</v>
      </c>
      <c r="JW3" s="36" t="s">
        <v>1393</v>
      </c>
      <c r="JX3" s="95"/>
      <c r="JY3" s="95"/>
      <c r="JZ3" s="229"/>
      <c r="KA3" s="229"/>
      <c r="KB3" s="229"/>
      <c r="KC3" s="229"/>
      <c r="KD3" s="229"/>
      <c r="KE3" s="229"/>
      <c r="KF3" s="330" t="s">
        <v>1125</v>
      </c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92" t="s">
        <v>1394</v>
      </c>
      <c r="KR3" s="36"/>
      <c r="KS3" s="643"/>
      <c r="KT3" s="643"/>
      <c r="KU3" s="643"/>
      <c r="KV3" s="643"/>
      <c r="KW3" s="643"/>
      <c r="KX3" s="643"/>
      <c r="KY3" s="643"/>
      <c r="KZ3" s="643"/>
      <c r="LA3" s="643"/>
      <c r="LB3" s="643"/>
      <c r="LC3" s="643"/>
      <c r="LD3" s="643"/>
      <c r="LE3" s="36"/>
      <c r="LF3" s="36"/>
      <c r="LG3" s="36"/>
      <c r="LH3" s="36"/>
      <c r="LI3" s="36"/>
      <c r="LJ3" s="36"/>
      <c r="LK3" s="36"/>
      <c r="LL3" s="36"/>
      <c r="LM3" s="36"/>
      <c r="LN3" s="330" t="s">
        <v>1395</v>
      </c>
      <c r="LO3" s="330" t="s">
        <v>1396</v>
      </c>
      <c r="LP3" s="330" t="s">
        <v>1396</v>
      </c>
      <c r="LQ3" s="330" t="s">
        <v>1396</v>
      </c>
      <c r="LR3" s="330" t="s">
        <v>1396</v>
      </c>
      <c r="LS3" s="330" t="s">
        <v>1397</v>
      </c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</row>
    <row r="4" spans="1:387" s="25" customFormat="1" ht="115.5" customHeight="1">
      <c r="A4" s="221" t="s">
        <v>32</v>
      </c>
      <c r="B4" s="90" t="s">
        <v>837</v>
      </c>
      <c r="C4" s="90" t="s">
        <v>837</v>
      </c>
      <c r="D4" s="118" t="s">
        <v>842</v>
      </c>
      <c r="E4" s="118" t="s">
        <v>842</v>
      </c>
      <c r="F4" s="90" t="s">
        <v>837</v>
      </c>
      <c r="G4" s="90" t="s">
        <v>837</v>
      </c>
      <c r="H4" s="36" t="s">
        <v>1398</v>
      </c>
      <c r="I4" s="36" t="s">
        <v>1398</v>
      </c>
      <c r="J4" s="36" t="s">
        <v>1398</v>
      </c>
      <c r="K4" s="36" t="s">
        <v>1398</v>
      </c>
      <c r="L4" s="36" t="s">
        <v>1398</v>
      </c>
      <c r="M4" s="122" t="s">
        <v>941</v>
      </c>
      <c r="N4" s="36" t="s">
        <v>1398</v>
      </c>
      <c r="O4" s="36" t="s">
        <v>1398</v>
      </c>
      <c r="P4" s="36" t="s">
        <v>1398</v>
      </c>
      <c r="Q4" s="118" t="s">
        <v>842</v>
      </c>
      <c r="R4" s="118" t="s">
        <v>842</v>
      </c>
      <c r="S4" s="125" t="s">
        <v>18</v>
      </c>
      <c r="T4" s="125" t="s">
        <v>18</v>
      </c>
      <c r="U4" s="125" t="s">
        <v>18</v>
      </c>
      <c r="V4" s="36" t="s">
        <v>1398</v>
      </c>
      <c r="W4" s="36" t="s">
        <v>1398</v>
      </c>
      <c r="X4" s="36" t="s">
        <v>1398</v>
      </c>
      <c r="Y4" s="36" t="s">
        <v>1398</v>
      </c>
      <c r="Z4" s="36" t="s">
        <v>1398</v>
      </c>
      <c r="AA4" s="36" t="s">
        <v>1398</v>
      </c>
      <c r="AB4" s="36" t="s">
        <v>1398</v>
      </c>
      <c r="AC4" s="118" t="s">
        <v>842</v>
      </c>
      <c r="AD4" s="36" t="s">
        <v>1398</v>
      </c>
      <c r="AE4" s="36" t="s">
        <v>1398</v>
      </c>
      <c r="AF4" s="36" t="s">
        <v>1398</v>
      </c>
      <c r="AG4" s="36" t="s">
        <v>1398</v>
      </c>
      <c r="AH4" s="36" t="s">
        <v>1398</v>
      </c>
      <c r="AI4" s="36" t="s">
        <v>1398</v>
      </c>
      <c r="AJ4" s="36" t="s">
        <v>1398</v>
      </c>
      <c r="AK4" s="125" t="s">
        <v>852</v>
      </c>
      <c r="AL4" s="125" t="s">
        <v>852</v>
      </c>
      <c r="AM4" s="125" t="s">
        <v>852</v>
      </c>
      <c r="AN4" s="125" t="s">
        <v>852</v>
      </c>
      <c r="AO4" s="125" t="s">
        <v>852</v>
      </c>
      <c r="AP4" s="36" t="s">
        <v>1398</v>
      </c>
      <c r="AQ4" s="36" t="s">
        <v>1398</v>
      </c>
      <c r="AR4" s="36" t="s">
        <v>1398</v>
      </c>
      <c r="AS4" s="36" t="s">
        <v>1398</v>
      </c>
      <c r="AT4" s="36" t="s">
        <v>1398</v>
      </c>
      <c r="AU4" s="36" t="s">
        <v>1398</v>
      </c>
      <c r="AV4" s="36" t="s">
        <v>1398</v>
      </c>
      <c r="AW4" s="36" t="s">
        <v>1399</v>
      </c>
      <c r="AX4" s="36" t="s">
        <v>1399</v>
      </c>
      <c r="AY4" s="36" t="s">
        <v>1399</v>
      </c>
      <c r="AZ4" s="222" t="s">
        <v>1400</v>
      </c>
      <c r="BA4" s="222" t="s">
        <v>1401</v>
      </c>
      <c r="BB4" s="222" t="s">
        <v>1401</v>
      </c>
      <c r="BC4" s="222" t="s">
        <v>1401</v>
      </c>
      <c r="BD4" s="222" t="s">
        <v>1401</v>
      </c>
      <c r="BE4" s="223" t="s">
        <v>847</v>
      </c>
      <c r="BF4" s="223" t="s">
        <v>847</v>
      </c>
      <c r="BG4" s="222" t="s">
        <v>1401</v>
      </c>
      <c r="BH4" s="222" t="s">
        <v>1401</v>
      </c>
      <c r="BI4" s="222" t="s">
        <v>1401</v>
      </c>
      <c r="BJ4" s="36" t="s">
        <v>948</v>
      </c>
      <c r="BK4" s="36" t="s">
        <v>948</v>
      </c>
      <c r="BL4" s="125" t="s">
        <v>18</v>
      </c>
      <c r="BM4" s="125" t="s">
        <v>842</v>
      </c>
      <c r="BN4" s="125" t="s">
        <v>18</v>
      </c>
      <c r="BO4" s="125" t="s">
        <v>18</v>
      </c>
      <c r="BP4" s="125" t="s">
        <v>18</v>
      </c>
      <c r="BQ4" s="125" t="s">
        <v>18</v>
      </c>
      <c r="BR4" s="118" t="s">
        <v>1322</v>
      </c>
      <c r="BS4" s="36" t="s">
        <v>948</v>
      </c>
      <c r="BT4" s="36" t="s">
        <v>102</v>
      </c>
      <c r="BU4" s="36" t="s">
        <v>102</v>
      </c>
      <c r="BV4" s="36" t="s">
        <v>102</v>
      </c>
      <c r="BW4" s="36" t="s">
        <v>102</v>
      </c>
      <c r="BX4" s="36" t="s">
        <v>102</v>
      </c>
      <c r="BY4" s="36" t="s">
        <v>102</v>
      </c>
      <c r="BZ4" s="36" t="s">
        <v>102</v>
      </c>
      <c r="CA4" s="36" t="s">
        <v>102</v>
      </c>
      <c r="CB4" s="121" t="s">
        <v>1402</v>
      </c>
      <c r="CC4" s="36" t="s">
        <v>102</v>
      </c>
      <c r="CD4" s="36" t="s">
        <v>102</v>
      </c>
      <c r="CE4" s="222" t="s">
        <v>1403</v>
      </c>
      <c r="CF4" s="222" t="s">
        <v>1403</v>
      </c>
      <c r="CG4" s="222" t="s">
        <v>1403</v>
      </c>
      <c r="CH4" s="222" t="s">
        <v>1403</v>
      </c>
      <c r="CI4" s="118" t="s">
        <v>1325</v>
      </c>
      <c r="CJ4" s="222" t="s">
        <v>1403</v>
      </c>
      <c r="CK4" s="165" t="s">
        <v>1404</v>
      </c>
      <c r="CL4" s="165" t="s">
        <v>1405</v>
      </c>
      <c r="CM4" s="165" t="s">
        <v>1406</v>
      </c>
      <c r="CN4" s="227" t="s">
        <v>1407</v>
      </c>
      <c r="CO4" s="213" t="s">
        <v>1408</v>
      </c>
      <c r="CP4" s="213" t="s">
        <v>1409</v>
      </c>
      <c r="CQ4" s="39" t="s">
        <v>1410</v>
      </c>
      <c r="CR4" s="39" t="s">
        <v>1411</v>
      </c>
      <c r="CS4" s="39" t="s">
        <v>1411</v>
      </c>
      <c r="CT4" s="39" t="s">
        <v>1411</v>
      </c>
      <c r="CU4" s="151" t="s">
        <v>1412</v>
      </c>
      <c r="CV4" s="39" t="s">
        <v>1411</v>
      </c>
      <c r="CW4" s="39" t="s">
        <v>1411</v>
      </c>
      <c r="CX4" s="39" t="s">
        <v>1411</v>
      </c>
      <c r="CY4" s="39" t="s">
        <v>1411</v>
      </c>
      <c r="CZ4" s="39" t="s">
        <v>1413</v>
      </c>
      <c r="DA4" s="151" t="s">
        <v>1414</v>
      </c>
      <c r="DB4" s="39" t="s">
        <v>1413</v>
      </c>
      <c r="DC4" s="39" t="s">
        <v>1413</v>
      </c>
      <c r="DD4" s="39" t="s">
        <v>1413</v>
      </c>
      <c r="DE4" s="39" t="s">
        <v>1413</v>
      </c>
      <c r="DF4" s="39" t="s">
        <v>1413</v>
      </c>
      <c r="DG4" s="39" t="s">
        <v>1413</v>
      </c>
      <c r="DH4" s="39" t="s">
        <v>1413</v>
      </c>
      <c r="DI4" s="39" t="s">
        <v>1413</v>
      </c>
      <c r="DJ4" s="98" t="s">
        <v>1415</v>
      </c>
      <c r="DK4" s="39" t="s">
        <v>1413</v>
      </c>
      <c r="DL4" s="272" t="s">
        <v>1413</v>
      </c>
      <c r="DM4" s="36" t="s">
        <v>1416</v>
      </c>
      <c r="DN4" s="25" t="s">
        <v>1416</v>
      </c>
      <c r="DO4" s="250" t="s">
        <v>1417</v>
      </c>
      <c r="DP4" s="250" t="s">
        <v>1418</v>
      </c>
      <c r="DQ4" s="250" t="s">
        <v>1419</v>
      </c>
      <c r="DR4" s="36" t="s">
        <v>1341</v>
      </c>
      <c r="DS4" s="36" t="s">
        <v>1341</v>
      </c>
      <c r="DT4" s="152" t="s">
        <v>1420</v>
      </c>
      <c r="DU4" s="250" t="s">
        <v>1421</v>
      </c>
      <c r="DV4" s="250" t="s">
        <v>1422</v>
      </c>
      <c r="DW4" s="250" t="s">
        <v>1423</v>
      </c>
      <c r="DX4" s="250" t="s">
        <v>1424</v>
      </c>
      <c r="DY4" s="250" t="s">
        <v>1425</v>
      </c>
      <c r="DZ4" s="250" t="s">
        <v>1426</v>
      </c>
      <c r="EA4" s="36" t="s">
        <v>1427</v>
      </c>
      <c r="EB4" s="285"/>
      <c r="EC4" s="115" t="s">
        <v>18</v>
      </c>
      <c r="ED4" s="250" t="s">
        <v>1428</v>
      </c>
      <c r="EE4" s="36"/>
      <c r="EF4" s="36"/>
      <c r="EG4" s="36" t="s">
        <v>875</v>
      </c>
      <c r="EH4" s="36" t="s">
        <v>877</v>
      </c>
      <c r="EI4" s="36" t="s">
        <v>143</v>
      </c>
      <c r="EJ4" s="36" t="s">
        <v>143</v>
      </c>
      <c r="EK4" s="36" t="s">
        <v>877</v>
      </c>
      <c r="EL4" s="36" t="s">
        <v>877</v>
      </c>
      <c r="EM4" s="36" t="s">
        <v>877</v>
      </c>
      <c r="EN4" s="36" t="s">
        <v>877</v>
      </c>
      <c r="EO4" s="36" t="s">
        <v>877</v>
      </c>
      <c r="EP4" s="36" t="s">
        <v>877</v>
      </c>
      <c r="EQ4" s="36" t="s">
        <v>877</v>
      </c>
      <c r="ER4" s="36" t="s">
        <v>877</v>
      </c>
      <c r="ES4" s="329" t="s">
        <v>18</v>
      </c>
      <c r="ET4" s="152" t="s">
        <v>1429</v>
      </c>
      <c r="EU4" s="36" t="s">
        <v>1430</v>
      </c>
      <c r="EV4" s="36" t="s">
        <v>891</v>
      </c>
      <c r="EW4" s="36" t="s">
        <v>1431</v>
      </c>
      <c r="EX4" s="36" t="s">
        <v>1431</v>
      </c>
      <c r="EY4" s="36" t="s">
        <v>1431</v>
      </c>
      <c r="EZ4" s="36" t="s">
        <v>1431</v>
      </c>
      <c r="FA4" s="36" t="s">
        <v>1432</v>
      </c>
      <c r="FB4" s="36" t="s">
        <v>1433</v>
      </c>
      <c r="FC4" s="36" t="s">
        <v>1434</v>
      </c>
      <c r="FD4" s="36" t="s">
        <v>1434</v>
      </c>
      <c r="FE4" s="36" t="s">
        <v>1434</v>
      </c>
      <c r="FF4" s="36" t="s">
        <v>1434</v>
      </c>
      <c r="FG4" s="36" t="s">
        <v>1435</v>
      </c>
      <c r="FH4" s="36" t="s">
        <v>1435</v>
      </c>
      <c r="FI4" s="36" t="s">
        <v>1435</v>
      </c>
      <c r="FJ4" s="36" t="s">
        <v>1436</v>
      </c>
      <c r="FK4" s="222" t="s">
        <v>891</v>
      </c>
      <c r="FL4" s="222" t="s">
        <v>1437</v>
      </c>
      <c r="FM4" s="152" t="s">
        <v>1438</v>
      </c>
      <c r="FN4" s="36" t="s">
        <v>1436</v>
      </c>
      <c r="FO4" s="36" t="s">
        <v>1436</v>
      </c>
      <c r="FP4" s="36" t="s">
        <v>1436</v>
      </c>
      <c r="FQ4" s="36" t="s">
        <v>1436</v>
      </c>
      <c r="FR4" s="328" t="s">
        <v>1439</v>
      </c>
      <c r="FS4" s="36" t="s">
        <v>1436</v>
      </c>
      <c r="FT4" s="36" t="s">
        <v>1440</v>
      </c>
      <c r="FU4" s="36" t="s">
        <v>1440</v>
      </c>
      <c r="FV4" s="36" t="s">
        <v>1441</v>
      </c>
      <c r="FW4" s="36" t="s">
        <v>1441</v>
      </c>
      <c r="FX4" s="36" t="s">
        <v>1441</v>
      </c>
      <c r="FY4" s="36" t="s">
        <v>1441</v>
      </c>
      <c r="FZ4" s="36" t="s">
        <v>1442</v>
      </c>
      <c r="GA4" s="36" t="s">
        <v>1442</v>
      </c>
      <c r="GB4" s="36" t="s">
        <v>1442</v>
      </c>
      <c r="GC4" s="36" t="s">
        <v>1442</v>
      </c>
      <c r="GD4" s="36" t="s">
        <v>1442</v>
      </c>
      <c r="GE4" s="36" t="s">
        <v>899</v>
      </c>
      <c r="GF4" s="152" t="s">
        <v>1443</v>
      </c>
      <c r="GG4" s="36" t="s">
        <v>899</v>
      </c>
      <c r="GH4" s="36" t="s">
        <v>991</v>
      </c>
      <c r="GI4" s="36" t="s">
        <v>991</v>
      </c>
      <c r="GJ4" s="107" t="s">
        <v>1444</v>
      </c>
      <c r="GK4" s="330" t="s">
        <v>18</v>
      </c>
      <c r="GL4" s="144" t="s">
        <v>1444</v>
      </c>
      <c r="GM4" s="36" t="s">
        <v>802</v>
      </c>
      <c r="GN4" s="36" t="s">
        <v>1445</v>
      </c>
      <c r="GO4" s="36" t="s">
        <v>1445</v>
      </c>
      <c r="GP4" s="36" t="s">
        <v>1445</v>
      </c>
      <c r="GQ4" s="350" t="s">
        <v>1446</v>
      </c>
      <c r="GR4" s="152" t="s">
        <v>1447</v>
      </c>
      <c r="GS4" s="36" t="s">
        <v>1446</v>
      </c>
      <c r="GT4" s="36" t="s">
        <v>1446</v>
      </c>
      <c r="GU4" s="36" t="s">
        <v>1446</v>
      </c>
      <c r="GV4" s="36" t="s">
        <v>1446</v>
      </c>
      <c r="GW4" s="36" t="s">
        <v>1446</v>
      </c>
      <c r="GX4" s="36" t="s">
        <v>907</v>
      </c>
      <c r="GY4" s="36" t="s">
        <v>907</v>
      </c>
      <c r="GZ4" s="36" t="s">
        <v>1365</v>
      </c>
      <c r="HA4" s="36" t="s">
        <v>1365</v>
      </c>
      <c r="HB4" s="36" t="s">
        <v>1365</v>
      </c>
      <c r="HC4" s="36" t="s">
        <v>1365</v>
      </c>
      <c r="HD4" s="36" t="s">
        <v>1365</v>
      </c>
      <c r="HE4" s="36" t="s">
        <v>1365</v>
      </c>
      <c r="HF4" s="36" t="s">
        <v>1365</v>
      </c>
      <c r="HG4" s="36" t="s">
        <v>1365</v>
      </c>
      <c r="HH4" s="36" t="s">
        <v>1365</v>
      </c>
      <c r="HI4" s="386" t="s">
        <v>18</v>
      </c>
      <c r="HJ4" s="386" t="s">
        <v>18</v>
      </c>
      <c r="HK4" s="386" t="s">
        <v>18</v>
      </c>
      <c r="HL4" s="386" t="s">
        <v>18</v>
      </c>
      <c r="HM4" s="386" t="s">
        <v>18</v>
      </c>
      <c r="HN4" s="36" t="s">
        <v>1448</v>
      </c>
      <c r="HO4" s="144" t="s">
        <v>1449</v>
      </c>
      <c r="HP4" s="144" t="s">
        <v>1450</v>
      </c>
      <c r="HQ4" s="144" t="s">
        <v>1450</v>
      </c>
      <c r="HR4" s="36" t="s">
        <v>1450</v>
      </c>
      <c r="HS4" s="386" t="s">
        <v>852</v>
      </c>
      <c r="HT4" s="36" t="s">
        <v>1451</v>
      </c>
      <c r="HU4" s="36" t="s">
        <v>1451</v>
      </c>
      <c r="HV4" s="36" t="s">
        <v>1451</v>
      </c>
      <c r="HW4" s="392" t="s">
        <v>189</v>
      </c>
      <c r="HX4" s="392" t="s">
        <v>189</v>
      </c>
      <c r="HY4" s="392" t="s">
        <v>1452</v>
      </c>
      <c r="HZ4" s="36" t="s">
        <v>1453</v>
      </c>
      <c r="IA4" s="36" t="s">
        <v>1453</v>
      </c>
      <c r="IB4" s="36" t="s">
        <v>1454</v>
      </c>
      <c r="IC4" s="36" t="s">
        <v>1454</v>
      </c>
      <c r="ID4" s="36" t="s">
        <v>1454</v>
      </c>
      <c r="IE4" s="36" t="s">
        <v>1454</v>
      </c>
      <c r="IF4" s="36" t="s">
        <v>1454</v>
      </c>
      <c r="IG4" s="328" t="s">
        <v>1455</v>
      </c>
      <c r="IH4" s="36" t="s">
        <v>1454</v>
      </c>
      <c r="II4" s="36" t="s">
        <v>1454</v>
      </c>
      <c r="IJ4" s="36" t="s">
        <v>1454</v>
      </c>
      <c r="IK4" s="36" t="s">
        <v>1454</v>
      </c>
      <c r="IL4" s="330" t="s">
        <v>1456</v>
      </c>
      <c r="IM4" s="36" t="s">
        <v>1457</v>
      </c>
      <c r="IN4" s="36" t="s">
        <v>1457</v>
      </c>
      <c r="IO4" s="392" t="s">
        <v>1458</v>
      </c>
      <c r="IP4" s="36" t="s">
        <v>1459</v>
      </c>
      <c r="IQ4" s="36" t="s">
        <v>1459</v>
      </c>
      <c r="IR4" s="36" t="s">
        <v>1459</v>
      </c>
      <c r="IS4" s="297" t="s">
        <v>1460</v>
      </c>
      <c r="IT4" s="297" t="s">
        <v>1460</v>
      </c>
      <c r="IU4" s="297" t="s">
        <v>1460</v>
      </c>
      <c r="IV4" s="651" t="s">
        <v>193</v>
      </c>
      <c r="IW4" s="297" t="s">
        <v>1461</v>
      </c>
      <c r="IX4" s="297" t="s">
        <v>1461</v>
      </c>
      <c r="IY4" s="297" t="s">
        <v>1462</v>
      </c>
      <c r="IZ4" s="297" t="s">
        <v>1462</v>
      </c>
      <c r="JA4" s="36" t="s">
        <v>1451</v>
      </c>
      <c r="JB4" s="36" t="s">
        <v>1451</v>
      </c>
      <c r="JC4" s="36" t="s">
        <v>1463</v>
      </c>
      <c r="JD4" s="36" t="s">
        <v>1463</v>
      </c>
      <c r="JE4" s="36" t="s">
        <v>1463</v>
      </c>
      <c r="JF4" s="330" t="s">
        <v>1120</v>
      </c>
      <c r="JG4" s="258" t="s">
        <v>927</v>
      </c>
      <c r="JH4" s="258" t="s">
        <v>927</v>
      </c>
      <c r="JI4" s="258" t="s">
        <v>927</v>
      </c>
      <c r="JJ4" s="334" t="s">
        <v>928</v>
      </c>
      <c r="JK4" s="334" t="s">
        <v>928</v>
      </c>
      <c r="JL4" s="334" t="s">
        <v>928</v>
      </c>
      <c r="JM4" s="95" t="s">
        <v>928</v>
      </c>
      <c r="JN4" s="95" t="s">
        <v>928</v>
      </c>
      <c r="JO4" s="95" t="s">
        <v>928</v>
      </c>
      <c r="JP4" s="95" t="s">
        <v>928</v>
      </c>
      <c r="JQ4" s="95" t="s">
        <v>928</v>
      </c>
      <c r="JR4" s="330" t="s">
        <v>1464</v>
      </c>
      <c r="JS4" s="392" t="s">
        <v>1465</v>
      </c>
      <c r="JT4" s="36" t="s">
        <v>1463</v>
      </c>
      <c r="JU4" s="36" t="s">
        <v>1463</v>
      </c>
      <c r="JV4" s="36" t="s">
        <v>1463</v>
      </c>
      <c r="JW4" s="36" t="s">
        <v>1463</v>
      </c>
      <c r="JX4" s="36" t="s">
        <v>1463</v>
      </c>
      <c r="JY4" s="36" t="s">
        <v>1463</v>
      </c>
      <c r="JZ4" s="36" t="s">
        <v>1463</v>
      </c>
      <c r="KA4" s="107" t="s">
        <v>1463</v>
      </c>
      <c r="KB4" s="36"/>
      <c r="KC4" s="36"/>
      <c r="KD4" s="36"/>
      <c r="KE4" s="36"/>
      <c r="KF4" s="730" t="s">
        <v>1125</v>
      </c>
      <c r="KG4" s="148" t="s">
        <v>1466</v>
      </c>
      <c r="KH4" s="148" t="s">
        <v>1466</v>
      </c>
      <c r="KI4" s="148" t="s">
        <v>1466</v>
      </c>
      <c r="KJ4" s="148" t="s">
        <v>1466</v>
      </c>
      <c r="KK4" s="36"/>
      <c r="KL4" s="392" t="s">
        <v>1467</v>
      </c>
      <c r="KM4" s="36"/>
      <c r="KN4" s="36"/>
      <c r="KO4" s="36"/>
      <c r="KP4" s="36"/>
      <c r="KQ4" s="330" t="s">
        <v>1468</v>
      </c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30" t="s">
        <v>1395</v>
      </c>
      <c r="LO4" s="330" t="s">
        <v>1396</v>
      </c>
      <c r="LP4" s="330" t="s">
        <v>1396</v>
      </c>
      <c r="LQ4" s="330" t="s">
        <v>1396</v>
      </c>
      <c r="LR4" s="330" t="s">
        <v>1396</v>
      </c>
      <c r="LS4" s="330" t="s">
        <v>1397</v>
      </c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</row>
    <row r="5" spans="1:387" s="25" customFormat="1" ht="99.95" customHeight="1">
      <c r="A5" s="221" t="s">
        <v>35</v>
      </c>
      <c r="B5" s="36" t="s">
        <v>1469</v>
      </c>
      <c r="C5" s="36" t="s">
        <v>1469</v>
      </c>
      <c r="D5" s="90" t="s">
        <v>837</v>
      </c>
      <c r="E5" s="90" t="s">
        <v>837</v>
      </c>
      <c r="F5" s="90" t="s">
        <v>837</v>
      </c>
      <c r="G5" s="125" t="s">
        <v>18</v>
      </c>
      <c r="H5" s="125" t="s">
        <v>18</v>
      </c>
      <c r="I5" s="125" t="s">
        <v>18</v>
      </c>
      <c r="J5" s="125" t="s">
        <v>18</v>
      </c>
      <c r="K5" s="125" t="s">
        <v>18</v>
      </c>
      <c r="L5" s="125" t="s">
        <v>18</v>
      </c>
      <c r="M5" s="125" t="s">
        <v>18</v>
      </c>
      <c r="N5" s="125" t="s">
        <v>18</v>
      </c>
      <c r="O5" s="125" t="s">
        <v>18</v>
      </c>
      <c r="P5" s="125" t="s">
        <v>18</v>
      </c>
      <c r="Q5" s="90" t="s">
        <v>838</v>
      </c>
      <c r="R5" s="90" t="s">
        <v>838</v>
      </c>
      <c r="S5" s="90" t="s">
        <v>838</v>
      </c>
      <c r="T5" s="90" t="s">
        <v>793</v>
      </c>
      <c r="U5" s="90" t="s">
        <v>838</v>
      </c>
      <c r="V5" s="90" t="s">
        <v>838</v>
      </c>
      <c r="W5" s="218" t="s">
        <v>1470</v>
      </c>
      <c r="X5" s="90" t="s">
        <v>838</v>
      </c>
      <c r="Y5" s="90" t="s">
        <v>838</v>
      </c>
      <c r="Z5" s="90" t="s">
        <v>838</v>
      </c>
      <c r="AA5" s="90" t="s">
        <v>838</v>
      </c>
      <c r="AB5" s="90" t="s">
        <v>1471</v>
      </c>
      <c r="AC5" s="90" t="s">
        <v>838</v>
      </c>
      <c r="AD5" s="90" t="s">
        <v>838</v>
      </c>
      <c r="AE5" s="90" t="s">
        <v>838</v>
      </c>
      <c r="AF5" s="36" t="s">
        <v>1472</v>
      </c>
      <c r="AG5" s="118" t="s">
        <v>842</v>
      </c>
      <c r="AH5" s="36" t="s">
        <v>1472</v>
      </c>
      <c r="AI5" s="36" t="s">
        <v>1472</v>
      </c>
      <c r="AJ5" s="36" t="s">
        <v>1472</v>
      </c>
      <c r="AK5" s="36" t="s">
        <v>1473</v>
      </c>
      <c r="AL5" s="36" t="s">
        <v>1473</v>
      </c>
      <c r="AM5" s="36" t="s">
        <v>1473</v>
      </c>
      <c r="AN5" s="36" t="s">
        <v>1473</v>
      </c>
      <c r="AO5" s="36" t="s">
        <v>1473</v>
      </c>
      <c r="AP5" s="36" t="s">
        <v>1473</v>
      </c>
      <c r="AQ5" s="36" t="s">
        <v>1473</v>
      </c>
      <c r="AR5" s="36" t="s">
        <v>1473</v>
      </c>
      <c r="AS5" s="224" t="s">
        <v>842</v>
      </c>
      <c r="AT5" s="224" t="s">
        <v>842</v>
      </c>
      <c r="AU5" s="36" t="s">
        <v>1473</v>
      </c>
      <c r="AV5" s="36" t="s">
        <v>1474</v>
      </c>
      <c r="AW5" s="36" t="s">
        <v>1474</v>
      </c>
      <c r="AX5" s="36" t="s">
        <v>1474</v>
      </c>
      <c r="AY5" s="36" t="s">
        <v>1474</v>
      </c>
      <c r="AZ5" s="36" t="s">
        <v>1474</v>
      </c>
      <c r="BA5" s="36" t="s">
        <v>1474</v>
      </c>
      <c r="BB5" s="36" t="s">
        <v>1474</v>
      </c>
      <c r="BC5" s="36" t="s">
        <v>1474</v>
      </c>
      <c r="BD5" s="36" t="s">
        <v>1474</v>
      </c>
      <c r="BE5" s="223" t="s">
        <v>847</v>
      </c>
      <c r="BF5" s="223" t="s">
        <v>847</v>
      </c>
      <c r="BG5" s="148" t="s">
        <v>1475</v>
      </c>
      <c r="BH5" s="148" t="s">
        <v>1476</v>
      </c>
      <c r="BI5" s="148" t="s">
        <v>1477</v>
      </c>
      <c r="BJ5" s="148" t="s">
        <v>1476</v>
      </c>
      <c r="BK5" s="148" t="s">
        <v>1476</v>
      </c>
      <c r="BL5" s="148" t="s">
        <v>1476</v>
      </c>
      <c r="BM5" s="125" t="s">
        <v>842</v>
      </c>
      <c r="BN5" s="125" t="s">
        <v>848</v>
      </c>
      <c r="BO5" s="125" t="s">
        <v>848</v>
      </c>
      <c r="BP5" s="125" t="s">
        <v>848</v>
      </c>
      <c r="BQ5" s="125" t="s">
        <v>848</v>
      </c>
      <c r="BR5" s="118" t="s">
        <v>1322</v>
      </c>
      <c r="BS5" s="148" t="s">
        <v>1476</v>
      </c>
      <c r="BT5" s="36" t="s">
        <v>102</v>
      </c>
      <c r="BU5" s="36" t="s">
        <v>102</v>
      </c>
      <c r="BV5" s="36" t="s">
        <v>102</v>
      </c>
      <c r="BW5" s="36" t="s">
        <v>102</v>
      </c>
      <c r="BX5" s="36" t="s">
        <v>102</v>
      </c>
      <c r="BY5" s="36" t="s">
        <v>252</v>
      </c>
      <c r="BZ5" s="36" t="s">
        <v>252</v>
      </c>
      <c r="CA5" s="90" t="s">
        <v>1478</v>
      </c>
      <c r="CB5" s="90" t="s">
        <v>1479</v>
      </c>
      <c r="CC5" s="90" t="s">
        <v>1479</v>
      </c>
      <c r="CD5" s="125" t="s">
        <v>1480</v>
      </c>
      <c r="CE5" s="90" t="s">
        <v>1481</v>
      </c>
      <c r="CF5" s="123" t="s">
        <v>793</v>
      </c>
      <c r="CG5" s="152" t="s">
        <v>1482</v>
      </c>
      <c r="CH5" s="90" t="s">
        <v>1481</v>
      </c>
      <c r="CI5" s="90" t="s">
        <v>1481</v>
      </c>
      <c r="CJ5" s="90" t="s">
        <v>1483</v>
      </c>
      <c r="CK5" s="90" t="s">
        <v>1481</v>
      </c>
      <c r="CL5" s="36" t="s">
        <v>1484</v>
      </c>
      <c r="CM5" s="36" t="s">
        <v>1484</v>
      </c>
      <c r="CN5" s="164" t="s">
        <v>1484</v>
      </c>
      <c r="CO5" s="148" t="s">
        <v>1485</v>
      </c>
      <c r="CP5" s="36" t="s">
        <v>1485</v>
      </c>
      <c r="CQ5" s="36" t="s">
        <v>1485</v>
      </c>
      <c r="CR5" s="229" t="s">
        <v>1485</v>
      </c>
      <c r="CS5" s="116" t="s">
        <v>1486</v>
      </c>
      <c r="CT5" s="116" t="s">
        <v>1486</v>
      </c>
      <c r="CU5" s="116" t="s">
        <v>1486</v>
      </c>
      <c r="CV5" s="116" t="s">
        <v>1486</v>
      </c>
      <c r="CW5" s="116" t="s">
        <v>1486</v>
      </c>
      <c r="CX5" s="98" t="s">
        <v>1487</v>
      </c>
      <c r="CY5" s="116" t="s">
        <v>1486</v>
      </c>
      <c r="CZ5" s="116" t="s">
        <v>1486</v>
      </c>
      <c r="DA5" s="116" t="s">
        <v>1486</v>
      </c>
      <c r="DB5" s="36" t="s">
        <v>1488</v>
      </c>
      <c r="DC5" s="165" t="s">
        <v>1489</v>
      </c>
      <c r="DD5" s="165" t="s">
        <v>1490</v>
      </c>
      <c r="DE5" s="250" t="s">
        <v>1491</v>
      </c>
      <c r="DF5" s="250" t="s">
        <v>1492</v>
      </c>
      <c r="DG5" s="250" t="s">
        <v>1493</v>
      </c>
      <c r="DH5" s="250" t="s">
        <v>1494</v>
      </c>
      <c r="DI5" s="36" t="s">
        <v>767</v>
      </c>
      <c r="DJ5" s="36" t="s">
        <v>767</v>
      </c>
      <c r="DK5" s="36" t="s">
        <v>767</v>
      </c>
      <c r="DL5" s="36" t="s">
        <v>1495</v>
      </c>
      <c r="DM5" s="274" t="s">
        <v>1496</v>
      </c>
      <c r="DN5" s="250" t="s">
        <v>1497</v>
      </c>
      <c r="DO5" s="273" t="s">
        <v>1496</v>
      </c>
      <c r="DP5" s="36" t="s">
        <v>1498</v>
      </c>
      <c r="DQ5" s="36" t="s">
        <v>1498</v>
      </c>
      <c r="DR5" s="36" t="s">
        <v>1341</v>
      </c>
      <c r="DS5" s="36" t="s">
        <v>1341</v>
      </c>
      <c r="DT5" s="36" t="s">
        <v>1499</v>
      </c>
      <c r="DU5" s="36" t="s">
        <v>1499</v>
      </c>
      <c r="DV5" s="36" t="s">
        <v>1499</v>
      </c>
      <c r="DW5" s="36" t="s">
        <v>1500</v>
      </c>
      <c r="DX5" s="36" t="s">
        <v>1500</v>
      </c>
      <c r="DY5" s="36" t="s">
        <v>1500</v>
      </c>
      <c r="DZ5" s="36" t="s">
        <v>1500</v>
      </c>
      <c r="EA5" s="36" t="s">
        <v>1500</v>
      </c>
      <c r="EB5" s="36" t="s">
        <v>1500</v>
      </c>
      <c r="EC5" s="36" t="s">
        <v>1501</v>
      </c>
      <c r="ED5" s="36" t="s">
        <v>1501</v>
      </c>
      <c r="EE5" s="36" t="s">
        <v>1501</v>
      </c>
      <c r="EF5" s="36" t="s">
        <v>1501</v>
      </c>
      <c r="EG5" s="36" t="s">
        <v>875</v>
      </c>
      <c r="EH5" s="36" t="s">
        <v>877</v>
      </c>
      <c r="EI5" s="36" t="s">
        <v>877</v>
      </c>
      <c r="EJ5" s="36" t="s">
        <v>877</v>
      </c>
      <c r="EK5" s="36" t="s">
        <v>877</v>
      </c>
      <c r="EL5" s="36" t="s">
        <v>877</v>
      </c>
      <c r="EM5" s="152" t="s">
        <v>1502</v>
      </c>
      <c r="EN5" s="36" t="s">
        <v>877</v>
      </c>
      <c r="EO5" s="36" t="s">
        <v>877</v>
      </c>
      <c r="EP5" s="36" t="s">
        <v>877</v>
      </c>
      <c r="EQ5" s="36" t="s">
        <v>877</v>
      </c>
      <c r="ER5" s="36" t="s">
        <v>877</v>
      </c>
      <c r="ES5" s="36" t="s">
        <v>877</v>
      </c>
      <c r="ET5" s="36" t="s">
        <v>877</v>
      </c>
      <c r="EU5" s="36" t="s">
        <v>877</v>
      </c>
      <c r="EV5" s="36" t="s">
        <v>1503</v>
      </c>
      <c r="EW5" s="36" t="s">
        <v>1504</v>
      </c>
      <c r="EX5" s="36" t="s">
        <v>1505</v>
      </c>
      <c r="EY5" s="107" t="s">
        <v>1506</v>
      </c>
      <c r="EZ5" s="107" t="s">
        <v>1506</v>
      </c>
      <c r="FA5" s="107" t="s">
        <v>1506</v>
      </c>
      <c r="FB5" s="107" t="s">
        <v>1506</v>
      </c>
      <c r="FC5" s="107" t="s">
        <v>1506</v>
      </c>
      <c r="FD5" s="107" t="s">
        <v>1506</v>
      </c>
      <c r="FE5" s="107" t="s">
        <v>1506</v>
      </c>
      <c r="FF5" s="107" t="s">
        <v>1506</v>
      </c>
      <c r="FG5" s="107" t="s">
        <v>1506</v>
      </c>
      <c r="FH5" s="107" t="s">
        <v>1506</v>
      </c>
      <c r="FI5" s="107" t="s">
        <v>1506</v>
      </c>
      <c r="FJ5" s="328" t="s">
        <v>18</v>
      </c>
      <c r="FK5" s="222" t="s">
        <v>1507</v>
      </c>
      <c r="FL5" s="222" t="s">
        <v>1507</v>
      </c>
      <c r="FM5" s="357" t="s">
        <v>1508</v>
      </c>
      <c r="FN5" s="107" t="s">
        <v>1508</v>
      </c>
      <c r="FO5" s="107" t="s">
        <v>1508</v>
      </c>
      <c r="FP5" s="328" t="s">
        <v>892</v>
      </c>
      <c r="FQ5" s="328" t="s">
        <v>852</v>
      </c>
      <c r="FR5" s="107" t="s">
        <v>1509</v>
      </c>
      <c r="FS5" s="107" t="s">
        <v>1508</v>
      </c>
      <c r="FT5" s="107" t="s">
        <v>1508</v>
      </c>
      <c r="FU5" s="107" t="s">
        <v>1508</v>
      </c>
      <c r="FV5" s="36" t="s">
        <v>1441</v>
      </c>
      <c r="FW5" s="36" t="s">
        <v>1441</v>
      </c>
      <c r="FX5" s="36" t="s">
        <v>1441</v>
      </c>
      <c r="FY5" s="36" t="s">
        <v>1441</v>
      </c>
      <c r="FZ5" s="36" t="s">
        <v>1510</v>
      </c>
      <c r="GA5" s="36" t="s">
        <v>1510</v>
      </c>
      <c r="GB5" s="350" t="s">
        <v>1511</v>
      </c>
      <c r="GC5" s="350" t="s">
        <v>1511</v>
      </c>
      <c r="GD5" s="350" t="s">
        <v>1511</v>
      </c>
      <c r="GE5" s="36" t="s">
        <v>899</v>
      </c>
      <c r="GF5" s="36" t="s">
        <v>899</v>
      </c>
      <c r="GG5" s="36" t="s">
        <v>991</v>
      </c>
      <c r="GH5" s="36" t="s">
        <v>1512</v>
      </c>
      <c r="GI5" s="328" t="s">
        <v>901</v>
      </c>
      <c r="GJ5" s="386" t="s">
        <v>1513</v>
      </c>
      <c r="GK5" s="386" t="s">
        <v>1513</v>
      </c>
      <c r="GL5" s="386" t="s">
        <v>1513</v>
      </c>
      <c r="GM5" s="328" t="s">
        <v>1513</v>
      </c>
      <c r="GN5" s="328" t="s">
        <v>1513</v>
      </c>
      <c r="GO5" s="350" t="s">
        <v>1514</v>
      </c>
      <c r="GP5" s="152" t="s">
        <v>1515</v>
      </c>
      <c r="GQ5" s="36" t="s">
        <v>991</v>
      </c>
      <c r="GR5" s="350" t="s">
        <v>1514</v>
      </c>
      <c r="GS5" s="328" t="s">
        <v>905</v>
      </c>
      <c r="GT5" s="36" t="s">
        <v>907</v>
      </c>
      <c r="GU5" s="36" t="s">
        <v>907</v>
      </c>
      <c r="GV5" s="36" t="s">
        <v>1365</v>
      </c>
      <c r="GW5" s="36" t="s">
        <v>1365</v>
      </c>
      <c r="GX5" s="36" t="s">
        <v>1365</v>
      </c>
      <c r="GY5" s="36" t="s">
        <v>1365</v>
      </c>
      <c r="GZ5" s="36" t="s">
        <v>1365</v>
      </c>
      <c r="HA5" s="36" t="s">
        <v>1365</v>
      </c>
      <c r="HB5" s="36" t="s">
        <v>1373</v>
      </c>
      <c r="HC5" s="36" t="s">
        <v>1373</v>
      </c>
      <c r="HD5" s="258" t="s">
        <v>1516</v>
      </c>
      <c r="HE5" s="148" t="s">
        <v>1517</v>
      </c>
      <c r="HF5" s="148" t="s">
        <v>1518</v>
      </c>
      <c r="HG5" s="221" t="s">
        <v>793</v>
      </c>
      <c r="HH5" s="258" t="s">
        <v>1519</v>
      </c>
      <c r="HI5" s="258" t="s">
        <v>1519</v>
      </c>
      <c r="HJ5" s="258" t="s">
        <v>1519</v>
      </c>
      <c r="HK5" s="258" t="s">
        <v>1519</v>
      </c>
      <c r="HL5" s="400" t="s">
        <v>1519</v>
      </c>
      <c r="HM5" s="400" t="s">
        <v>1519</v>
      </c>
      <c r="HN5" s="400" t="s">
        <v>1519</v>
      </c>
      <c r="HO5" s="221" t="s">
        <v>1520</v>
      </c>
      <c r="HP5" s="400" t="s">
        <v>1519</v>
      </c>
      <c r="HQ5" s="400" t="s">
        <v>1519</v>
      </c>
      <c r="HR5" s="36" t="s">
        <v>1521</v>
      </c>
      <c r="HS5" s="386" t="s">
        <v>852</v>
      </c>
      <c r="HT5" s="36" t="s">
        <v>1521</v>
      </c>
      <c r="HU5" s="386" t="s">
        <v>852</v>
      </c>
      <c r="HV5" s="36" t="s">
        <v>1521</v>
      </c>
      <c r="HW5" s="36" t="s">
        <v>1521</v>
      </c>
      <c r="HX5" s="36" t="s">
        <v>1453</v>
      </c>
      <c r="HY5" s="36" t="s">
        <v>1453</v>
      </c>
      <c r="HZ5" s="36" t="s">
        <v>1454</v>
      </c>
      <c r="IA5" s="36" t="s">
        <v>1454</v>
      </c>
      <c r="IB5" s="36" t="s">
        <v>1454</v>
      </c>
      <c r="IC5" s="36" t="s">
        <v>1454</v>
      </c>
      <c r="ID5" s="36" t="s">
        <v>1454</v>
      </c>
      <c r="IE5" s="36" t="s">
        <v>1454</v>
      </c>
      <c r="IF5" s="36" t="s">
        <v>1454</v>
      </c>
      <c r="IG5" s="36" t="s">
        <v>1454</v>
      </c>
      <c r="IH5" s="36" t="s">
        <v>1454</v>
      </c>
      <c r="II5" s="161" t="s">
        <v>1522</v>
      </c>
      <c r="IJ5" s="161" t="s">
        <v>1522</v>
      </c>
      <c r="IK5" s="36" t="s">
        <v>1523</v>
      </c>
      <c r="IL5" s="36" t="s">
        <v>1521</v>
      </c>
      <c r="IM5" s="330" t="s">
        <v>918</v>
      </c>
      <c r="IN5" s="36" t="s">
        <v>1524</v>
      </c>
      <c r="IO5" s="36" t="s">
        <v>1524</v>
      </c>
      <c r="IP5" s="165" t="s">
        <v>68</v>
      </c>
      <c r="IQ5" s="165" t="s">
        <v>68</v>
      </c>
      <c r="IR5" s="165" t="s">
        <v>68</v>
      </c>
      <c r="IS5" s="165" t="s">
        <v>68</v>
      </c>
      <c r="IT5" s="165" t="s">
        <v>68</v>
      </c>
      <c r="IU5" s="720" t="s">
        <v>1525</v>
      </c>
      <c r="IV5" s="720" t="s">
        <v>1525</v>
      </c>
      <c r="IW5" s="720" t="s">
        <v>1525</v>
      </c>
      <c r="IX5" s="720" t="s">
        <v>1525</v>
      </c>
      <c r="IY5" s="651" t="s">
        <v>193</v>
      </c>
      <c r="IZ5" s="297" t="s">
        <v>1526</v>
      </c>
      <c r="JA5" s="297" t="s">
        <v>1461</v>
      </c>
      <c r="JB5" s="25" t="s">
        <v>1527</v>
      </c>
      <c r="JC5" s="36" t="s">
        <v>1528</v>
      </c>
      <c r="JD5" s="36" t="s">
        <v>1528</v>
      </c>
      <c r="JE5" s="36" t="s">
        <v>1528</v>
      </c>
      <c r="JF5" s="330" t="s">
        <v>18</v>
      </c>
      <c r="JG5" s="330" t="s">
        <v>18</v>
      </c>
      <c r="JH5" s="330" t="s">
        <v>18</v>
      </c>
      <c r="JI5" s="330" t="s">
        <v>18</v>
      </c>
      <c r="JJ5" s="330" t="s">
        <v>18</v>
      </c>
      <c r="JK5" s="330" t="s">
        <v>18</v>
      </c>
      <c r="JL5" s="36" t="s">
        <v>927</v>
      </c>
      <c r="JM5" s="36" t="s">
        <v>1529</v>
      </c>
      <c r="JN5" s="36" t="s">
        <v>927</v>
      </c>
      <c r="JO5" s="36" t="s">
        <v>927</v>
      </c>
      <c r="JP5" s="95" t="s">
        <v>928</v>
      </c>
      <c r="JQ5" s="95" t="s">
        <v>928</v>
      </c>
      <c r="JR5" s="95" t="s">
        <v>928</v>
      </c>
      <c r="JS5" s="95" t="s">
        <v>928</v>
      </c>
      <c r="JT5" s="95" t="s">
        <v>928</v>
      </c>
      <c r="JU5" s="95" t="s">
        <v>928</v>
      </c>
      <c r="JV5" s="165" t="s">
        <v>943</v>
      </c>
      <c r="JW5" s="165" t="s">
        <v>943</v>
      </c>
      <c r="JX5" s="165" t="s">
        <v>943</v>
      </c>
      <c r="JY5" s="36" t="s">
        <v>1521</v>
      </c>
      <c r="JZ5" s="258" t="s">
        <v>1521</v>
      </c>
      <c r="KA5" s="258" t="s">
        <v>1521</v>
      </c>
      <c r="KB5" s="392" t="s">
        <v>1530</v>
      </c>
      <c r="KC5" s="258" t="s">
        <v>1521</v>
      </c>
      <c r="KD5" s="258" t="s">
        <v>1521</v>
      </c>
      <c r="KE5" s="258" t="s">
        <v>1521</v>
      </c>
      <c r="KF5" s="36" t="s">
        <v>1521</v>
      </c>
      <c r="KG5" s="36" t="s">
        <v>1521</v>
      </c>
      <c r="KH5" s="330" t="s">
        <v>930</v>
      </c>
      <c r="KI5" s="36" t="s">
        <v>1521</v>
      </c>
      <c r="KJ5" s="36" t="s">
        <v>1521</v>
      </c>
      <c r="KK5" s="36" t="s">
        <v>1521</v>
      </c>
      <c r="KL5" s="36" t="s">
        <v>1521</v>
      </c>
      <c r="KM5" s="258" t="s">
        <v>1531</v>
      </c>
      <c r="KN5" s="258" t="s">
        <v>1531</v>
      </c>
      <c r="KO5" s="258" t="s">
        <v>1531</v>
      </c>
      <c r="KP5" s="258" t="s">
        <v>1531</v>
      </c>
      <c r="KQ5" s="36"/>
      <c r="KR5" s="36"/>
      <c r="KS5" s="330" t="s">
        <v>933</v>
      </c>
      <c r="KT5" s="330" t="s">
        <v>933</v>
      </c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258"/>
      <c r="LF5" s="221" t="s">
        <v>1532</v>
      </c>
      <c r="LG5" s="258"/>
      <c r="LH5" s="258"/>
      <c r="LI5" s="36"/>
      <c r="LJ5" s="36"/>
      <c r="LK5" s="36"/>
      <c r="LL5" s="36"/>
      <c r="LM5" s="36"/>
      <c r="LN5" s="330" t="s">
        <v>1395</v>
      </c>
      <c r="LO5" s="330" t="s">
        <v>1396</v>
      </c>
      <c r="LP5" s="330" t="s">
        <v>1396</v>
      </c>
      <c r="LQ5" s="330" t="s">
        <v>1396</v>
      </c>
      <c r="LR5" s="330" t="s">
        <v>1396</v>
      </c>
      <c r="LS5" s="330" t="s">
        <v>1397</v>
      </c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</row>
    <row r="6" spans="1:387" s="25" customFormat="1" ht="114.75" customHeight="1">
      <c r="A6" s="221" t="s">
        <v>1533</v>
      </c>
      <c r="B6" s="36" t="s">
        <v>1534</v>
      </c>
      <c r="C6" s="36" t="s">
        <v>1534</v>
      </c>
      <c r="D6" s="90" t="s">
        <v>837</v>
      </c>
      <c r="E6" s="90" t="s">
        <v>837</v>
      </c>
      <c r="F6" s="125" t="s">
        <v>18</v>
      </c>
      <c r="G6" s="90" t="s">
        <v>837</v>
      </c>
      <c r="H6" s="90" t="s">
        <v>838</v>
      </c>
      <c r="I6" s="90" t="s">
        <v>838</v>
      </c>
      <c r="J6" s="90" t="s">
        <v>838</v>
      </c>
      <c r="K6" s="125" t="s">
        <v>18</v>
      </c>
      <c r="L6" s="36" t="s">
        <v>1535</v>
      </c>
      <c r="M6" s="36" t="s">
        <v>1535</v>
      </c>
      <c r="N6" s="36" t="s">
        <v>1535</v>
      </c>
      <c r="O6" s="36" t="s">
        <v>1535</v>
      </c>
      <c r="P6" s="125" t="s">
        <v>18</v>
      </c>
      <c r="Q6" s="36" t="s">
        <v>1536</v>
      </c>
      <c r="R6" s="36" t="s">
        <v>1536</v>
      </c>
      <c r="S6" s="36" t="s">
        <v>1536</v>
      </c>
      <c r="T6" s="36" t="s">
        <v>1536</v>
      </c>
      <c r="U6" s="125" t="s">
        <v>18</v>
      </c>
      <c r="V6" s="36" t="s">
        <v>1537</v>
      </c>
      <c r="W6" s="36" t="s">
        <v>1537</v>
      </c>
      <c r="X6" s="36" t="s">
        <v>1537</v>
      </c>
      <c r="Y6" s="36" t="s">
        <v>1538</v>
      </c>
      <c r="Z6" s="125" t="s">
        <v>18</v>
      </c>
      <c r="AA6" s="36" t="s">
        <v>1538</v>
      </c>
      <c r="AB6" s="36" t="s">
        <v>1538</v>
      </c>
      <c r="AC6" s="36" t="s">
        <v>1537</v>
      </c>
      <c r="AD6" s="36" t="s">
        <v>1537</v>
      </c>
      <c r="AE6" s="125" t="s">
        <v>18</v>
      </c>
      <c r="AF6" s="36" t="s">
        <v>1537</v>
      </c>
      <c r="AG6" s="36" t="s">
        <v>1539</v>
      </c>
      <c r="AH6" s="36" t="s">
        <v>1539</v>
      </c>
      <c r="AI6" s="36" t="s">
        <v>1539</v>
      </c>
      <c r="AJ6" s="125" t="s">
        <v>18</v>
      </c>
      <c r="AK6" s="36" t="s">
        <v>1539</v>
      </c>
      <c r="AL6" s="36" t="s">
        <v>1539</v>
      </c>
      <c r="AM6" s="36" t="s">
        <v>1539</v>
      </c>
      <c r="AN6" s="36" t="s">
        <v>1539</v>
      </c>
      <c r="AO6" s="125" t="s">
        <v>18</v>
      </c>
      <c r="AP6" s="125" t="s">
        <v>18</v>
      </c>
      <c r="AQ6" s="125" t="s">
        <v>18</v>
      </c>
      <c r="AR6" s="125" t="s">
        <v>18</v>
      </c>
      <c r="AS6" s="125" t="s">
        <v>18</v>
      </c>
      <c r="AT6" s="125" t="s">
        <v>18</v>
      </c>
      <c r="AU6" s="125" t="s">
        <v>18</v>
      </c>
      <c r="AV6" s="36" t="s">
        <v>1540</v>
      </c>
      <c r="AW6" s="36" t="s">
        <v>1540</v>
      </c>
      <c r="AX6" s="36" t="s">
        <v>1540</v>
      </c>
      <c r="AY6" s="125" t="s">
        <v>18</v>
      </c>
      <c r="AZ6" s="36" t="s">
        <v>1540</v>
      </c>
      <c r="BA6" s="36" t="s">
        <v>1540</v>
      </c>
      <c r="BB6" s="36" t="s">
        <v>1540</v>
      </c>
      <c r="BC6" s="36" t="s">
        <v>1540</v>
      </c>
      <c r="BD6" s="125" t="s">
        <v>18</v>
      </c>
      <c r="BE6" s="36" t="s">
        <v>1541</v>
      </c>
      <c r="BF6" s="36" t="s">
        <v>1540</v>
      </c>
      <c r="BG6" s="125" t="s">
        <v>18</v>
      </c>
      <c r="BH6" s="125" t="s">
        <v>18</v>
      </c>
      <c r="BI6" s="125" t="s">
        <v>18</v>
      </c>
      <c r="BJ6" s="125" t="s">
        <v>18</v>
      </c>
      <c r="BK6" s="125" t="s">
        <v>18</v>
      </c>
      <c r="BL6" s="125" t="s">
        <v>18</v>
      </c>
      <c r="BM6" s="125" t="s">
        <v>842</v>
      </c>
      <c r="BN6" s="118" t="s">
        <v>848</v>
      </c>
      <c r="BO6" s="118" t="s">
        <v>848</v>
      </c>
      <c r="BP6" s="118" t="s">
        <v>848</v>
      </c>
      <c r="BQ6" s="118" t="s">
        <v>848</v>
      </c>
      <c r="BR6" s="118" t="s">
        <v>1322</v>
      </c>
      <c r="BS6" s="125" t="s">
        <v>18</v>
      </c>
      <c r="BT6" s="124" t="s">
        <v>1542</v>
      </c>
      <c r="BU6" s="124" t="s">
        <v>1543</v>
      </c>
      <c r="BV6" s="36" t="s">
        <v>102</v>
      </c>
      <c r="BW6" s="36" t="s">
        <v>102</v>
      </c>
      <c r="BX6" s="125" t="s">
        <v>18</v>
      </c>
      <c r="BY6" s="36" t="s">
        <v>102</v>
      </c>
      <c r="BZ6" s="152" t="s">
        <v>1544</v>
      </c>
      <c r="CA6" s="36" t="s">
        <v>1545</v>
      </c>
      <c r="CB6" s="36" t="s">
        <v>1545</v>
      </c>
      <c r="CC6" s="125" t="s">
        <v>18</v>
      </c>
      <c r="CD6" s="36" t="s">
        <v>1546</v>
      </c>
      <c r="CE6" s="36" t="s">
        <v>1547</v>
      </c>
      <c r="CF6" s="36" t="s">
        <v>1548</v>
      </c>
      <c r="CG6" s="36" t="s">
        <v>1549</v>
      </c>
      <c r="CH6" s="125" t="s">
        <v>18</v>
      </c>
      <c r="CI6" s="36" t="s">
        <v>1550</v>
      </c>
      <c r="CJ6" s="36" t="s">
        <v>1550</v>
      </c>
      <c r="CK6" s="36" t="s">
        <v>1548</v>
      </c>
      <c r="CL6" s="36" t="s">
        <v>1548</v>
      </c>
      <c r="CM6" s="125" t="s">
        <v>18</v>
      </c>
      <c r="CN6" s="144" t="s">
        <v>1551</v>
      </c>
      <c r="CO6" s="148" t="s">
        <v>1552</v>
      </c>
      <c r="CP6" s="148" t="s">
        <v>1553</v>
      </c>
      <c r="CQ6" s="148" t="s">
        <v>1554</v>
      </c>
      <c r="CR6" s="125" t="s">
        <v>18</v>
      </c>
      <c r="CS6" s="36" t="s">
        <v>1555</v>
      </c>
      <c r="CT6" s="36" t="s">
        <v>1556</v>
      </c>
      <c r="CU6" s="36" t="s">
        <v>1556</v>
      </c>
      <c r="CV6" s="36" t="s">
        <v>1557</v>
      </c>
      <c r="CW6" s="98" t="s">
        <v>18</v>
      </c>
      <c r="CX6" s="36" t="s">
        <v>1558</v>
      </c>
      <c r="CY6" s="36" t="s">
        <v>1558</v>
      </c>
      <c r="CZ6" s="21" t="s">
        <v>1559</v>
      </c>
      <c r="DA6" s="152" t="s">
        <v>1560</v>
      </c>
      <c r="DB6" s="98" t="s">
        <v>18</v>
      </c>
      <c r="DC6" s="36" t="s">
        <v>1558</v>
      </c>
      <c r="DD6" s="36" t="s">
        <v>1558</v>
      </c>
      <c r="DE6" s="36" t="s">
        <v>1558</v>
      </c>
      <c r="DF6" s="36" t="s">
        <v>1558</v>
      </c>
      <c r="DG6" s="98" t="s">
        <v>18</v>
      </c>
      <c r="DH6" s="36" t="s">
        <v>1558</v>
      </c>
      <c r="DI6" s="36" t="s">
        <v>1558</v>
      </c>
      <c r="DJ6" s="36" t="s">
        <v>1561</v>
      </c>
      <c r="DK6" s="36" t="s">
        <v>1562</v>
      </c>
      <c r="DL6" s="98" t="s">
        <v>18</v>
      </c>
      <c r="DM6" s="36" t="s">
        <v>1563</v>
      </c>
      <c r="DN6" s="36" t="s">
        <v>1563</v>
      </c>
      <c r="DO6" s="36" t="s">
        <v>1563</v>
      </c>
      <c r="DP6" s="36" t="s">
        <v>1498</v>
      </c>
      <c r="DQ6" s="98" t="s">
        <v>18</v>
      </c>
      <c r="DR6" s="36" t="s">
        <v>1341</v>
      </c>
      <c r="DS6" s="36" t="s">
        <v>1341</v>
      </c>
      <c r="DT6" s="36" t="s">
        <v>1564</v>
      </c>
      <c r="DU6" s="36" t="s">
        <v>1495</v>
      </c>
      <c r="DV6" s="98" t="s">
        <v>18</v>
      </c>
      <c r="DW6" s="36" t="s">
        <v>1565</v>
      </c>
      <c r="DX6" s="36" t="s">
        <v>1566</v>
      </c>
      <c r="DY6" s="36" t="s">
        <v>1567</v>
      </c>
      <c r="DZ6" s="36"/>
      <c r="EA6" s="98" t="s">
        <v>18</v>
      </c>
      <c r="EB6" s="98" t="s">
        <v>1568</v>
      </c>
      <c r="EC6" s="98" t="s">
        <v>1568</v>
      </c>
      <c r="ED6" s="98" t="s">
        <v>1568</v>
      </c>
      <c r="EE6" s="98" t="s">
        <v>1568</v>
      </c>
      <c r="EF6" s="98" t="s">
        <v>18</v>
      </c>
      <c r="EG6" s="98" t="s">
        <v>1569</v>
      </c>
      <c r="EH6" s="98" t="s">
        <v>1568</v>
      </c>
      <c r="EI6" s="98" t="s">
        <v>1568</v>
      </c>
      <c r="EJ6" s="98" t="s">
        <v>1568</v>
      </c>
      <c r="EK6" s="98" t="s">
        <v>1568</v>
      </c>
      <c r="EL6" s="36" t="s">
        <v>875</v>
      </c>
      <c r="EM6" s="36" t="s">
        <v>877</v>
      </c>
      <c r="EN6" s="36" t="s">
        <v>1570</v>
      </c>
      <c r="EO6" s="36" t="s">
        <v>1571</v>
      </c>
      <c r="EP6" s="330" t="s">
        <v>18</v>
      </c>
      <c r="EQ6" s="36" t="s">
        <v>1571</v>
      </c>
      <c r="ER6" s="152" t="s">
        <v>1572</v>
      </c>
      <c r="ES6" s="36" t="s">
        <v>1571</v>
      </c>
      <c r="ET6" s="36" t="s">
        <v>1571</v>
      </c>
      <c r="EU6" s="330" t="s">
        <v>18</v>
      </c>
      <c r="EV6" s="36" t="s">
        <v>1571</v>
      </c>
      <c r="EW6" s="250" t="s">
        <v>1573</v>
      </c>
      <c r="EX6" s="250" t="s">
        <v>1574</v>
      </c>
      <c r="EY6" s="250" t="s">
        <v>1575</v>
      </c>
      <c r="EZ6" s="328" t="s">
        <v>18</v>
      </c>
      <c r="FA6" s="328" t="s">
        <v>1576</v>
      </c>
      <c r="FB6" s="250" t="s">
        <v>1577</v>
      </c>
      <c r="FC6" s="36" t="s">
        <v>1571</v>
      </c>
      <c r="FD6" s="250" t="s">
        <v>1578</v>
      </c>
      <c r="FE6" s="328" t="s">
        <v>18</v>
      </c>
      <c r="FF6" s="36" t="s">
        <v>1571</v>
      </c>
      <c r="FG6" s="36" t="s">
        <v>1571</v>
      </c>
      <c r="FH6" s="36" t="s">
        <v>1571</v>
      </c>
      <c r="FI6" s="36" t="s">
        <v>1571</v>
      </c>
      <c r="FJ6" s="328" t="s">
        <v>18</v>
      </c>
      <c r="FK6" s="107" t="s">
        <v>1579</v>
      </c>
      <c r="FL6" s="36" t="s">
        <v>1580</v>
      </c>
      <c r="FM6" s="36" t="s">
        <v>1580</v>
      </c>
      <c r="FN6" s="36" t="s">
        <v>1580</v>
      </c>
      <c r="FO6" s="328" t="s">
        <v>18</v>
      </c>
      <c r="FP6" s="328" t="s">
        <v>1581</v>
      </c>
      <c r="FQ6" s="36" t="s">
        <v>1580</v>
      </c>
      <c r="FR6" s="36" t="s">
        <v>1582</v>
      </c>
      <c r="FS6" s="36" t="s">
        <v>1582</v>
      </c>
      <c r="FT6" s="328" t="s">
        <v>18</v>
      </c>
      <c r="FU6" s="36" t="s">
        <v>1582</v>
      </c>
      <c r="FV6" s="36" t="s">
        <v>1582</v>
      </c>
      <c r="FW6" s="36" t="s">
        <v>1582</v>
      </c>
      <c r="FX6" s="36" t="s">
        <v>1583</v>
      </c>
      <c r="FY6" s="328" t="s">
        <v>18</v>
      </c>
      <c r="FZ6" s="36" t="s">
        <v>1583</v>
      </c>
      <c r="GA6" s="36" t="s">
        <v>1583</v>
      </c>
      <c r="GB6" s="36" t="s">
        <v>1583</v>
      </c>
      <c r="GC6" s="36" t="s">
        <v>1583</v>
      </c>
      <c r="GD6" s="328" t="s">
        <v>18</v>
      </c>
      <c r="GE6" s="36" t="s">
        <v>899</v>
      </c>
      <c r="GF6" s="36" t="s">
        <v>991</v>
      </c>
      <c r="GG6" s="36" t="s">
        <v>991</v>
      </c>
      <c r="GH6" s="328" t="s">
        <v>852</v>
      </c>
      <c r="GI6" s="328" t="s">
        <v>18</v>
      </c>
      <c r="GJ6" s="36" t="s">
        <v>1584</v>
      </c>
      <c r="GK6" s="36" t="s">
        <v>1584</v>
      </c>
      <c r="GL6" s="36" t="s">
        <v>1584</v>
      </c>
      <c r="GM6" s="36" t="s">
        <v>1584</v>
      </c>
      <c r="GN6" s="328" t="s">
        <v>18</v>
      </c>
      <c r="GO6" s="36" t="s">
        <v>1584</v>
      </c>
      <c r="GP6" s="36" t="s">
        <v>1584</v>
      </c>
      <c r="GQ6" s="36" t="s">
        <v>1584</v>
      </c>
      <c r="GR6" s="36" t="s">
        <v>1584</v>
      </c>
      <c r="GS6" s="328" t="s">
        <v>18</v>
      </c>
      <c r="GT6" s="36" t="s">
        <v>1584</v>
      </c>
      <c r="GU6" s="36" t="s">
        <v>1584</v>
      </c>
      <c r="GV6" s="221" t="s">
        <v>189</v>
      </c>
      <c r="GW6" s="152" t="s">
        <v>1585</v>
      </c>
      <c r="GX6" s="328" t="s">
        <v>18</v>
      </c>
      <c r="GY6" s="221" t="s">
        <v>189</v>
      </c>
      <c r="GZ6" s="221" t="s">
        <v>1452</v>
      </c>
      <c r="HA6" s="36" t="s">
        <v>1586</v>
      </c>
      <c r="HB6" s="36" t="s">
        <v>1584</v>
      </c>
      <c r="HC6" s="328" t="s">
        <v>18</v>
      </c>
      <c r="HD6" s="36" t="s">
        <v>907</v>
      </c>
      <c r="HE6" s="36" t="s">
        <v>907</v>
      </c>
      <c r="HF6" s="36" t="s">
        <v>1365</v>
      </c>
      <c r="HG6" s="403" t="s">
        <v>18</v>
      </c>
      <c r="HH6" s="36" t="s">
        <v>1365</v>
      </c>
      <c r="HI6" s="36" t="s">
        <v>1584</v>
      </c>
      <c r="HJ6" s="36" t="s">
        <v>1584</v>
      </c>
      <c r="HK6" s="36" t="s">
        <v>1584</v>
      </c>
      <c r="HL6" s="36" t="s">
        <v>1587</v>
      </c>
      <c r="HM6" s="386" t="s">
        <v>18</v>
      </c>
      <c r="HN6" s="36" t="s">
        <v>1587</v>
      </c>
      <c r="HO6" s="36" t="s">
        <v>1588</v>
      </c>
      <c r="HP6" s="36" t="s">
        <v>1588</v>
      </c>
      <c r="HQ6" s="36" t="s">
        <v>1588</v>
      </c>
      <c r="HR6" s="386" t="s">
        <v>18</v>
      </c>
      <c r="HS6" s="36" t="s">
        <v>1588</v>
      </c>
      <c r="HT6" s="400" t="s">
        <v>1589</v>
      </c>
      <c r="HU6" s="400" t="s">
        <v>1589</v>
      </c>
      <c r="HV6" s="36" t="s">
        <v>1590</v>
      </c>
      <c r="HW6" s="386" t="s">
        <v>18</v>
      </c>
      <c r="HX6" s="165" t="s">
        <v>1591</v>
      </c>
      <c r="HY6" s="165" t="s">
        <v>1591</v>
      </c>
      <c r="HZ6" s="165" t="s">
        <v>1591</v>
      </c>
      <c r="IA6" s="36" t="s">
        <v>1453</v>
      </c>
      <c r="IB6" s="386" t="s">
        <v>18</v>
      </c>
      <c r="IC6" s="386" t="s">
        <v>18</v>
      </c>
      <c r="ID6" s="36" t="s">
        <v>1453</v>
      </c>
      <c r="IE6" s="229" t="s">
        <v>1454</v>
      </c>
      <c r="IF6" s="229" t="s">
        <v>1454</v>
      </c>
      <c r="IG6" s="229" t="s">
        <v>1454</v>
      </c>
      <c r="IH6" s="403" t="s">
        <v>1592</v>
      </c>
      <c r="II6" s="229" t="s">
        <v>1454</v>
      </c>
      <c r="IJ6" s="36" t="s">
        <v>1593</v>
      </c>
      <c r="IK6" s="36" t="s">
        <v>1594</v>
      </c>
      <c r="IL6" s="330" t="s">
        <v>18</v>
      </c>
      <c r="IM6" s="330" t="s">
        <v>1595</v>
      </c>
      <c r="IN6" s="330" t="s">
        <v>1595</v>
      </c>
      <c r="IO6" s="330" t="s">
        <v>1595</v>
      </c>
      <c r="IP6" s="330" t="s">
        <v>1595</v>
      </c>
      <c r="IQ6" s="330" t="s">
        <v>1595</v>
      </c>
      <c r="IR6" s="330" t="s">
        <v>1595</v>
      </c>
      <c r="IS6" s="330" t="s">
        <v>1595</v>
      </c>
      <c r="IT6" s="330" t="s">
        <v>1595</v>
      </c>
      <c r="IU6" s="330" t="s">
        <v>1595</v>
      </c>
      <c r="IV6" s="330" t="s">
        <v>1595</v>
      </c>
      <c r="IW6" s="651" t="s">
        <v>193</v>
      </c>
      <c r="IX6" s="36" t="s">
        <v>1596</v>
      </c>
      <c r="IY6" s="297" t="s">
        <v>1526</v>
      </c>
      <c r="IZ6" s="392" t="s">
        <v>1597</v>
      </c>
      <c r="JA6" s="330" t="s">
        <v>18</v>
      </c>
      <c r="JB6" s="297" t="s">
        <v>1598</v>
      </c>
      <c r="JC6" s="36" t="s">
        <v>1528</v>
      </c>
      <c r="JD6" s="36" t="s">
        <v>1528</v>
      </c>
      <c r="JE6" s="36" t="s">
        <v>1528</v>
      </c>
      <c r="JF6" s="330" t="s">
        <v>18</v>
      </c>
      <c r="JG6" s="36" t="s">
        <v>1599</v>
      </c>
      <c r="JH6" s="36" t="s">
        <v>927</v>
      </c>
      <c r="JI6" s="36" t="s">
        <v>927</v>
      </c>
      <c r="JJ6" s="36" t="s">
        <v>927</v>
      </c>
      <c r="JK6" s="330" t="s">
        <v>18</v>
      </c>
      <c r="JL6" s="95" t="s">
        <v>928</v>
      </c>
      <c r="JM6" s="95" t="s">
        <v>928</v>
      </c>
      <c r="JN6" s="95" t="s">
        <v>928</v>
      </c>
      <c r="JO6" s="95" t="s">
        <v>928</v>
      </c>
      <c r="JP6" s="330" t="s">
        <v>18</v>
      </c>
      <c r="JQ6" s="400" t="s">
        <v>1589</v>
      </c>
      <c r="JR6" s="400" t="s">
        <v>1589</v>
      </c>
      <c r="JS6" s="400" t="s">
        <v>1589</v>
      </c>
      <c r="JT6" s="400" t="s">
        <v>1589</v>
      </c>
      <c r="JU6" s="330" t="s">
        <v>18</v>
      </c>
      <c r="JV6" s="36"/>
      <c r="JW6" s="36"/>
      <c r="JX6" s="36"/>
      <c r="JY6" s="36"/>
      <c r="JZ6" s="330" t="s">
        <v>18</v>
      </c>
      <c r="KA6" s="36"/>
      <c r="KB6" s="36"/>
      <c r="KC6" s="36"/>
      <c r="KD6" s="36"/>
      <c r="KE6" s="330" t="s">
        <v>18</v>
      </c>
      <c r="KF6" s="36"/>
      <c r="KG6" s="392" t="s">
        <v>1600</v>
      </c>
      <c r="KH6" s="36"/>
      <c r="KI6" s="36"/>
      <c r="KJ6" s="330" t="s">
        <v>18</v>
      </c>
      <c r="KK6" s="36"/>
      <c r="KL6" s="36"/>
      <c r="KM6" s="36"/>
      <c r="KN6" s="36"/>
      <c r="KO6" s="330" t="s">
        <v>18</v>
      </c>
      <c r="KP6" s="36"/>
      <c r="KQ6" s="36"/>
      <c r="KR6" s="330" t="s">
        <v>1601</v>
      </c>
      <c r="KS6" s="330" t="s">
        <v>1601</v>
      </c>
      <c r="KT6" s="330" t="s">
        <v>1601</v>
      </c>
      <c r="KU6" s="330" t="s">
        <v>1601</v>
      </c>
      <c r="KV6" s="330" t="s">
        <v>1601</v>
      </c>
      <c r="KW6" s="36"/>
      <c r="KX6" s="36"/>
      <c r="KY6" s="330" t="s">
        <v>18</v>
      </c>
      <c r="KZ6" s="36"/>
      <c r="LA6" s="36"/>
      <c r="LB6" s="36"/>
      <c r="LC6" s="36"/>
      <c r="LD6" s="36"/>
      <c r="LE6" s="36"/>
      <c r="LF6" s="36"/>
      <c r="LG6" s="36"/>
      <c r="LH6" s="330" t="s">
        <v>18</v>
      </c>
      <c r="LI6" s="330" t="s">
        <v>18</v>
      </c>
      <c r="LJ6" s="330" t="s">
        <v>18</v>
      </c>
      <c r="LK6" s="330" t="s">
        <v>18</v>
      </c>
      <c r="LL6" s="330" t="s">
        <v>18</v>
      </c>
      <c r="LM6" s="330" t="s">
        <v>18</v>
      </c>
      <c r="LN6" s="330" t="s">
        <v>1395</v>
      </c>
      <c r="LO6" s="330" t="s">
        <v>1396</v>
      </c>
      <c r="LP6" s="330" t="s">
        <v>1396</v>
      </c>
      <c r="LQ6" s="330" t="s">
        <v>1396</v>
      </c>
      <c r="LR6" s="330" t="s">
        <v>1396</v>
      </c>
      <c r="LS6" s="330" t="s">
        <v>1397</v>
      </c>
      <c r="LT6" s="36"/>
      <c r="LU6" s="36"/>
      <c r="LV6" s="36"/>
      <c r="LW6" s="36"/>
      <c r="LX6" s="330" t="s">
        <v>18</v>
      </c>
      <c r="LY6" s="36"/>
      <c r="LZ6" s="36"/>
      <c r="MA6" s="36"/>
      <c r="MB6" s="36"/>
      <c r="MC6" s="330" t="s">
        <v>18</v>
      </c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</row>
    <row r="7" spans="1:387" s="25" customFormat="1" ht="114.75" customHeight="1">
      <c r="A7" s="221" t="s">
        <v>37</v>
      </c>
      <c r="B7" s="36" t="s">
        <v>1602</v>
      </c>
      <c r="C7" s="36" t="s">
        <v>1602</v>
      </c>
      <c r="D7" s="36" t="s">
        <v>1602</v>
      </c>
      <c r="E7" s="36" t="s">
        <v>1602</v>
      </c>
      <c r="F7" s="36" t="s">
        <v>1602</v>
      </c>
      <c r="G7" s="90" t="s">
        <v>838</v>
      </c>
      <c r="H7" s="90" t="s">
        <v>838</v>
      </c>
      <c r="I7" s="90" t="s">
        <v>838</v>
      </c>
      <c r="J7" s="90" t="s">
        <v>838</v>
      </c>
      <c r="K7" s="90" t="s">
        <v>838</v>
      </c>
      <c r="L7" s="90" t="s">
        <v>838</v>
      </c>
      <c r="M7" s="90" t="s">
        <v>838</v>
      </c>
      <c r="N7" s="90" t="s">
        <v>838</v>
      </c>
      <c r="O7" s="90" t="s">
        <v>838</v>
      </c>
      <c r="P7" s="90" t="s">
        <v>838</v>
      </c>
      <c r="Q7" s="125" t="s">
        <v>1603</v>
      </c>
      <c r="R7" s="90" t="s">
        <v>838</v>
      </c>
      <c r="S7" s="90" t="s">
        <v>838</v>
      </c>
      <c r="T7" s="90" t="s">
        <v>838</v>
      </c>
      <c r="U7" s="90" t="s">
        <v>838</v>
      </c>
      <c r="V7" s="36" t="s">
        <v>1604</v>
      </c>
      <c r="W7" s="36" t="s">
        <v>1604</v>
      </c>
      <c r="X7" s="36" t="s">
        <v>1604</v>
      </c>
      <c r="Y7" s="36" t="s">
        <v>1604</v>
      </c>
      <c r="Z7" s="36" t="s">
        <v>1604</v>
      </c>
      <c r="AA7" s="36" t="s">
        <v>1605</v>
      </c>
      <c r="AB7" s="60" t="s">
        <v>941</v>
      </c>
      <c r="AC7" s="36" t="s">
        <v>1606</v>
      </c>
      <c r="AD7" s="36" t="s">
        <v>1606</v>
      </c>
      <c r="AE7" s="36" t="s">
        <v>1606</v>
      </c>
      <c r="AF7" s="36" t="s">
        <v>1607</v>
      </c>
      <c r="AG7" s="118" t="s">
        <v>842</v>
      </c>
      <c r="AH7" s="36" t="s">
        <v>1607</v>
      </c>
      <c r="AI7" s="36" t="s">
        <v>1607</v>
      </c>
      <c r="AJ7" s="36" t="s">
        <v>1607</v>
      </c>
      <c r="AK7" s="121" t="s">
        <v>20</v>
      </c>
      <c r="AL7" s="121" t="s">
        <v>20</v>
      </c>
      <c r="AM7" s="121" t="s">
        <v>20</v>
      </c>
      <c r="AN7" s="121" t="s">
        <v>20</v>
      </c>
      <c r="AO7" s="121" t="s">
        <v>20</v>
      </c>
      <c r="AP7" s="121" t="s">
        <v>20</v>
      </c>
      <c r="AQ7" s="121" t="s">
        <v>20</v>
      </c>
      <c r="AR7" s="121" t="s">
        <v>20</v>
      </c>
      <c r="AS7" s="125" t="s">
        <v>842</v>
      </c>
      <c r="AT7" s="125" t="s">
        <v>842</v>
      </c>
      <c r="AU7" s="36" t="s">
        <v>1608</v>
      </c>
      <c r="AV7" s="36" t="s">
        <v>1608</v>
      </c>
      <c r="AW7" s="36" t="s">
        <v>1608</v>
      </c>
      <c r="AX7" s="36" t="s">
        <v>1608</v>
      </c>
      <c r="AY7" s="36" t="s">
        <v>1608</v>
      </c>
      <c r="AZ7" s="36" t="s">
        <v>1608</v>
      </c>
      <c r="BA7" s="36" t="s">
        <v>1608</v>
      </c>
      <c r="BB7" s="36" t="s">
        <v>1608</v>
      </c>
      <c r="BC7" s="60" t="s">
        <v>941</v>
      </c>
      <c r="BD7" s="36" t="s">
        <v>1608</v>
      </c>
      <c r="BE7" s="36" t="s">
        <v>847</v>
      </c>
      <c r="BF7" s="36" t="s">
        <v>847</v>
      </c>
      <c r="BG7" s="36" t="s">
        <v>949</v>
      </c>
      <c r="BH7" s="36" t="s">
        <v>949</v>
      </c>
      <c r="BI7" s="148" t="s">
        <v>948</v>
      </c>
      <c r="BJ7" s="148" t="s">
        <v>948</v>
      </c>
      <c r="BK7" s="148" t="s">
        <v>948</v>
      </c>
      <c r="BL7" s="148" t="s">
        <v>948</v>
      </c>
      <c r="BM7" s="125" t="s">
        <v>842</v>
      </c>
      <c r="BN7" s="125" t="s">
        <v>848</v>
      </c>
      <c r="BO7" s="125" t="s">
        <v>848</v>
      </c>
      <c r="BP7" s="125" t="s">
        <v>848</v>
      </c>
      <c r="BQ7" s="125" t="s">
        <v>848</v>
      </c>
      <c r="BR7" s="118" t="s">
        <v>1322</v>
      </c>
      <c r="BS7" s="125" t="s">
        <v>18</v>
      </c>
      <c r="BT7" s="36" t="s">
        <v>1609</v>
      </c>
      <c r="BU7" s="36" t="s">
        <v>102</v>
      </c>
      <c r="BV7" s="36" t="s">
        <v>102</v>
      </c>
      <c r="BW7" s="36" t="s">
        <v>102</v>
      </c>
      <c r="BX7" s="36" t="s">
        <v>102</v>
      </c>
      <c r="BY7" s="36" t="s">
        <v>102</v>
      </c>
      <c r="BZ7" s="36" t="s">
        <v>102</v>
      </c>
      <c r="CA7" s="125" t="s">
        <v>18</v>
      </c>
      <c r="CB7" s="152" t="s">
        <v>1610</v>
      </c>
      <c r="CC7" s="36" t="s">
        <v>102</v>
      </c>
      <c r="CD7" s="118" t="s">
        <v>1480</v>
      </c>
      <c r="CE7" s="90" t="s">
        <v>1611</v>
      </c>
      <c r="CF7" s="90" t="s">
        <v>1612</v>
      </c>
      <c r="CG7" s="36" t="s">
        <v>1613</v>
      </c>
      <c r="CH7" s="36" t="s">
        <v>1613</v>
      </c>
      <c r="CI7" s="36" t="s">
        <v>1613</v>
      </c>
      <c r="CJ7" s="156" t="s">
        <v>1614</v>
      </c>
      <c r="CK7" s="156" t="s">
        <v>1614</v>
      </c>
      <c r="CL7" s="156" t="s">
        <v>1614</v>
      </c>
      <c r="CM7" s="90" t="s">
        <v>1615</v>
      </c>
      <c r="CN7" s="167" t="s">
        <v>1615</v>
      </c>
      <c r="CO7" s="13" t="s">
        <v>1615</v>
      </c>
      <c r="CP7" s="13" t="s">
        <v>1616</v>
      </c>
      <c r="CQ7" s="13" t="s">
        <v>1617</v>
      </c>
      <c r="CR7" s="13" t="s">
        <v>1617</v>
      </c>
      <c r="CS7" s="13" t="s">
        <v>1617</v>
      </c>
      <c r="CT7" s="13" t="s">
        <v>1617</v>
      </c>
      <c r="CU7" s="13" t="s">
        <v>1617</v>
      </c>
      <c r="CV7" s="13" t="s">
        <v>1618</v>
      </c>
      <c r="CW7" s="13" t="s">
        <v>1618</v>
      </c>
      <c r="CX7" s="116" t="s">
        <v>1487</v>
      </c>
      <c r="CY7" s="13" t="s">
        <v>1618</v>
      </c>
      <c r="CZ7" s="13" t="s">
        <v>1618</v>
      </c>
      <c r="DA7" s="13" t="s">
        <v>1618</v>
      </c>
      <c r="DB7" s="13" t="s">
        <v>1618</v>
      </c>
      <c r="DC7" s="13" t="s">
        <v>1618</v>
      </c>
      <c r="DD7" s="13" t="s">
        <v>1618</v>
      </c>
      <c r="DE7" s="13" t="s">
        <v>1618</v>
      </c>
      <c r="DF7" s="13" t="s">
        <v>1618</v>
      </c>
      <c r="DG7" s="13" t="s">
        <v>1618</v>
      </c>
      <c r="DH7" s="13" t="s">
        <v>1619</v>
      </c>
      <c r="DI7" s="13" t="s">
        <v>1619</v>
      </c>
      <c r="DJ7" s="13" t="s">
        <v>1619</v>
      </c>
      <c r="DK7" s="13" t="s">
        <v>1619</v>
      </c>
      <c r="DL7" s="13" t="s">
        <v>1619</v>
      </c>
      <c r="DM7" s="13" t="s">
        <v>1620</v>
      </c>
      <c r="DN7" s="13" t="s">
        <v>1620</v>
      </c>
      <c r="DO7" s="13" t="s">
        <v>1620</v>
      </c>
      <c r="DP7" s="21" t="s">
        <v>960</v>
      </c>
      <c r="DQ7" s="13" t="s">
        <v>1620</v>
      </c>
      <c r="DR7" s="36" t="s">
        <v>1341</v>
      </c>
      <c r="DS7" s="36" t="s">
        <v>1341</v>
      </c>
      <c r="DT7" s="112" t="s">
        <v>1621</v>
      </c>
      <c r="DU7" s="152" t="s">
        <v>1622</v>
      </c>
      <c r="DV7" s="104" t="s">
        <v>1623</v>
      </c>
      <c r="DW7" s="104" t="s">
        <v>1623</v>
      </c>
      <c r="DX7" s="104" t="s">
        <v>1623</v>
      </c>
      <c r="DY7" s="104" t="s">
        <v>1623</v>
      </c>
      <c r="DZ7" s="112" t="s">
        <v>1621</v>
      </c>
      <c r="EA7" s="104" t="s">
        <v>1624</v>
      </c>
      <c r="EB7" s="13" t="s">
        <v>1625</v>
      </c>
      <c r="EC7" s="13" t="s">
        <v>1625</v>
      </c>
      <c r="ED7" s="13" t="s">
        <v>1625</v>
      </c>
      <c r="EE7" s="21" t="s">
        <v>1626</v>
      </c>
      <c r="EF7" s="21" t="s">
        <v>1626</v>
      </c>
      <c r="EG7" s="36" t="s">
        <v>875</v>
      </c>
      <c r="EH7" s="331" t="s">
        <v>1342</v>
      </c>
      <c r="EI7" s="331" t="s">
        <v>1342</v>
      </c>
      <c r="EJ7" s="331" t="s">
        <v>1342</v>
      </c>
      <c r="EK7" s="331" t="s">
        <v>1342</v>
      </c>
      <c r="EL7" s="146" t="s">
        <v>1627</v>
      </c>
      <c r="EM7" s="146" t="s">
        <v>1627</v>
      </c>
      <c r="EN7" s="146" t="s">
        <v>1627</v>
      </c>
      <c r="EO7" s="146" t="s">
        <v>1627</v>
      </c>
      <c r="EP7" s="36" t="s">
        <v>877</v>
      </c>
      <c r="EQ7" s="36" t="s">
        <v>877</v>
      </c>
      <c r="ER7" s="36" t="s">
        <v>877</v>
      </c>
      <c r="ES7" s="36" t="s">
        <v>877</v>
      </c>
      <c r="ET7" s="36" t="s">
        <v>877</v>
      </c>
      <c r="EU7" s="36" t="s">
        <v>877</v>
      </c>
      <c r="EV7" s="36" t="s">
        <v>877</v>
      </c>
      <c r="EW7" s="36" t="s">
        <v>1628</v>
      </c>
      <c r="EX7" s="36" t="s">
        <v>1628</v>
      </c>
      <c r="EY7" s="36" t="s">
        <v>1629</v>
      </c>
      <c r="EZ7" s="36" t="s">
        <v>1342</v>
      </c>
      <c r="FA7" s="36" t="s">
        <v>1342</v>
      </c>
      <c r="FB7" s="36" t="s">
        <v>1342</v>
      </c>
      <c r="FC7" s="36" t="s">
        <v>1342</v>
      </c>
      <c r="FD7" s="25" t="s">
        <v>1630</v>
      </c>
      <c r="FE7" s="90" t="s">
        <v>1631</v>
      </c>
      <c r="FF7" s="90" t="s">
        <v>1631</v>
      </c>
      <c r="FG7" s="90" t="s">
        <v>1632</v>
      </c>
      <c r="FH7" s="36" t="s">
        <v>1633</v>
      </c>
      <c r="FI7" s="36" t="s">
        <v>1633</v>
      </c>
      <c r="FJ7" s="90" t="s">
        <v>1634</v>
      </c>
      <c r="FK7" s="90" t="s">
        <v>1634</v>
      </c>
      <c r="FL7" s="90" t="s">
        <v>1635</v>
      </c>
      <c r="FM7" s="238" t="s">
        <v>1636</v>
      </c>
      <c r="FN7" s="238" t="s">
        <v>1636</v>
      </c>
      <c r="FO7" s="238" t="s">
        <v>1636</v>
      </c>
      <c r="FP7" s="328" t="s">
        <v>892</v>
      </c>
      <c r="FQ7" s="328" t="s">
        <v>852</v>
      </c>
      <c r="FR7" s="238" t="s">
        <v>1636</v>
      </c>
      <c r="FS7" s="238" t="s">
        <v>1636</v>
      </c>
      <c r="FT7" s="238" t="s">
        <v>1636</v>
      </c>
      <c r="FU7" s="238" t="s">
        <v>1636</v>
      </c>
      <c r="FV7" s="372" t="s">
        <v>1636</v>
      </c>
      <c r="FW7" s="372" t="s">
        <v>1636</v>
      </c>
      <c r="FX7" s="372" t="s">
        <v>1636</v>
      </c>
      <c r="FY7" s="372" t="s">
        <v>1636</v>
      </c>
      <c r="FZ7" s="372" t="s">
        <v>1636</v>
      </c>
      <c r="GA7" s="372" t="s">
        <v>1636</v>
      </c>
      <c r="GB7" s="372" t="s">
        <v>1636</v>
      </c>
      <c r="GC7" s="372" t="s">
        <v>1636</v>
      </c>
      <c r="GD7" s="372" t="s">
        <v>1636</v>
      </c>
      <c r="GE7" s="36" t="s">
        <v>899</v>
      </c>
      <c r="GF7" s="36" t="s">
        <v>991</v>
      </c>
      <c r="GG7" s="36" t="s">
        <v>991</v>
      </c>
      <c r="GH7" s="36" t="s">
        <v>1637</v>
      </c>
      <c r="GI7" s="328" t="s">
        <v>901</v>
      </c>
      <c r="GJ7" s="36" t="s">
        <v>1637</v>
      </c>
      <c r="GK7" s="328" t="s">
        <v>1638</v>
      </c>
      <c r="GL7" s="36" t="s">
        <v>1637</v>
      </c>
      <c r="GM7" s="36" t="s">
        <v>1637</v>
      </c>
      <c r="GN7" s="36" t="s">
        <v>1639</v>
      </c>
      <c r="GO7" s="36" t="s">
        <v>1639</v>
      </c>
      <c r="GP7" s="328" t="s">
        <v>1640</v>
      </c>
      <c r="GQ7" s="328" t="s">
        <v>1640</v>
      </c>
      <c r="GR7" s="328" t="s">
        <v>1640</v>
      </c>
      <c r="GS7" s="328" t="s">
        <v>905</v>
      </c>
      <c r="GT7" s="36" t="s">
        <v>907</v>
      </c>
      <c r="GU7" s="36" t="s">
        <v>1365</v>
      </c>
      <c r="GV7" s="36" t="s">
        <v>1637</v>
      </c>
      <c r="GW7" s="36" t="s">
        <v>1365</v>
      </c>
      <c r="GX7" s="36" t="s">
        <v>1365</v>
      </c>
      <c r="GY7" s="328" t="s">
        <v>1641</v>
      </c>
      <c r="GZ7" s="328" t="s">
        <v>1641</v>
      </c>
      <c r="HA7" s="328" t="s">
        <v>1641</v>
      </c>
      <c r="HB7" s="328" t="s">
        <v>1641</v>
      </c>
      <c r="HC7" s="328" t="s">
        <v>1641</v>
      </c>
      <c r="HD7" s="36" t="s">
        <v>994</v>
      </c>
      <c r="HE7" s="36" t="s">
        <v>994</v>
      </c>
      <c r="HF7" s="36" t="s">
        <v>994</v>
      </c>
      <c r="HG7" s="36" t="s">
        <v>994</v>
      </c>
      <c r="HH7" s="36" t="s">
        <v>1642</v>
      </c>
      <c r="HI7" s="90" t="s">
        <v>1643</v>
      </c>
      <c r="HJ7" s="90" t="s">
        <v>1643</v>
      </c>
      <c r="HK7" s="258" t="s">
        <v>1644</v>
      </c>
      <c r="HL7" s="258" t="s">
        <v>1644</v>
      </c>
      <c r="HM7" s="392" t="s">
        <v>189</v>
      </c>
      <c r="HN7" s="392" t="s">
        <v>189</v>
      </c>
      <c r="HO7" s="392" t="s">
        <v>1452</v>
      </c>
      <c r="HP7" s="258" t="s">
        <v>1645</v>
      </c>
      <c r="HQ7" s="258" t="s">
        <v>1645</v>
      </c>
      <c r="HR7" s="258" t="s">
        <v>1645</v>
      </c>
      <c r="HS7" s="386" t="s">
        <v>852</v>
      </c>
      <c r="HT7" s="258" t="s">
        <v>1645</v>
      </c>
      <c r="HU7" s="258" t="s">
        <v>1645</v>
      </c>
      <c r="HV7" s="258" t="s">
        <v>1645</v>
      </c>
      <c r="HW7" s="258" t="s">
        <v>1645</v>
      </c>
      <c r="HX7" s="36" t="s">
        <v>1453</v>
      </c>
      <c r="HY7" s="36" t="s">
        <v>1453</v>
      </c>
      <c r="HZ7" s="36" t="s">
        <v>1454</v>
      </c>
      <c r="IA7" s="36" t="s">
        <v>1454</v>
      </c>
      <c r="IB7" s="36" t="s">
        <v>1454</v>
      </c>
      <c r="IC7" s="107" t="s">
        <v>1454</v>
      </c>
      <c r="ID7" s="107" t="s">
        <v>1454</v>
      </c>
      <c r="IE7" s="107" t="s">
        <v>1454</v>
      </c>
      <c r="IF7" s="107" t="s">
        <v>1454</v>
      </c>
      <c r="IG7" s="36" t="s">
        <v>1454</v>
      </c>
      <c r="IH7" s="36" t="s">
        <v>1454</v>
      </c>
      <c r="II7" s="706" t="s">
        <v>1646</v>
      </c>
      <c r="IJ7" s="707" t="s">
        <v>1646</v>
      </c>
      <c r="IK7" s="707" t="s">
        <v>1647</v>
      </c>
      <c r="IL7" s="708" t="s">
        <v>1648</v>
      </c>
      <c r="IM7" s="703" t="s">
        <v>918</v>
      </c>
      <c r="IN7" s="709" t="s">
        <v>1649</v>
      </c>
      <c r="IO7" s="721" t="s">
        <v>1650</v>
      </c>
      <c r="IP7" s="36" t="s">
        <v>1651</v>
      </c>
      <c r="IQ7" s="36" t="s">
        <v>1651</v>
      </c>
      <c r="IR7" s="165" t="s">
        <v>68</v>
      </c>
      <c r="IS7" s="165" t="s">
        <v>68</v>
      </c>
      <c r="IT7" s="165" t="s">
        <v>68</v>
      </c>
      <c r="IU7" s="165" t="s">
        <v>68</v>
      </c>
      <c r="IV7" s="651" t="s">
        <v>193</v>
      </c>
      <c r="IW7" s="297" t="s">
        <v>1526</v>
      </c>
      <c r="IX7" s="297" t="s">
        <v>1461</v>
      </c>
      <c r="IY7" s="702" t="s">
        <v>1460</v>
      </c>
      <c r="IZ7" s="702" t="s">
        <v>1460</v>
      </c>
      <c r="JA7" s="702" t="s">
        <v>1460</v>
      </c>
      <c r="JB7" s="36" t="s">
        <v>1528</v>
      </c>
      <c r="JC7" s="36" t="s">
        <v>1528</v>
      </c>
      <c r="JD7" s="36" t="s">
        <v>1528</v>
      </c>
      <c r="JE7" s="36" t="s">
        <v>1528</v>
      </c>
      <c r="JF7" s="36" t="s">
        <v>1528</v>
      </c>
      <c r="JG7" s="36" t="s">
        <v>927</v>
      </c>
      <c r="JH7" s="36" t="s">
        <v>927</v>
      </c>
      <c r="JI7" s="392" t="s">
        <v>1652</v>
      </c>
      <c r="JJ7" s="36" t="s">
        <v>927</v>
      </c>
      <c r="JK7" s="95" t="s">
        <v>928</v>
      </c>
      <c r="JL7" s="95" t="s">
        <v>928</v>
      </c>
      <c r="JM7" s="95" t="s">
        <v>928</v>
      </c>
      <c r="JN7" s="95" t="s">
        <v>928</v>
      </c>
      <c r="JO7" s="95" t="s">
        <v>928</v>
      </c>
      <c r="JP7" s="95" t="s">
        <v>928</v>
      </c>
      <c r="JQ7" s="212" t="s">
        <v>1645</v>
      </c>
      <c r="JR7" s="212" t="s">
        <v>1645</v>
      </c>
      <c r="JS7" s="212" t="s">
        <v>1645</v>
      </c>
      <c r="JT7" s="212" t="s">
        <v>1645</v>
      </c>
      <c r="JU7" s="212" t="s">
        <v>1645</v>
      </c>
      <c r="JV7" s="165" t="s">
        <v>943</v>
      </c>
      <c r="JW7" s="165" t="s">
        <v>943</v>
      </c>
      <c r="JX7" s="165" t="s">
        <v>943</v>
      </c>
      <c r="JY7" s="212" t="s">
        <v>1645</v>
      </c>
      <c r="JZ7" s="212" t="s">
        <v>1645</v>
      </c>
      <c r="KA7" s="212" t="s">
        <v>1645</v>
      </c>
      <c r="KB7" s="212" t="s">
        <v>1645</v>
      </c>
      <c r="KC7" s="400" t="s">
        <v>1653</v>
      </c>
      <c r="KD7" s="400" t="s">
        <v>1653</v>
      </c>
      <c r="KE7" s="400" t="s">
        <v>1653</v>
      </c>
      <c r="KF7" s="400" t="s">
        <v>1653</v>
      </c>
      <c r="KG7" s="36"/>
      <c r="KH7" s="330" t="s">
        <v>930</v>
      </c>
      <c r="KI7" s="36"/>
      <c r="KJ7" s="36"/>
      <c r="KK7" s="36"/>
      <c r="KL7" s="36"/>
      <c r="KM7" s="36"/>
      <c r="KN7" s="36"/>
      <c r="KO7" s="36"/>
      <c r="KP7" s="36"/>
      <c r="KQ7" s="36"/>
      <c r="KS7" s="330" t="s">
        <v>933</v>
      </c>
      <c r="KT7" s="330" t="s">
        <v>933</v>
      </c>
      <c r="KU7" s="36"/>
      <c r="KV7" s="36"/>
      <c r="KW7" s="221" t="s">
        <v>1654</v>
      </c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30" t="s">
        <v>1395</v>
      </c>
      <c r="LO7" s="330" t="s">
        <v>1396</v>
      </c>
      <c r="LP7" s="330" t="s">
        <v>1396</v>
      </c>
      <c r="LQ7" s="330" t="s">
        <v>1396</v>
      </c>
      <c r="LR7" s="330" t="s">
        <v>1396</v>
      </c>
      <c r="LS7" s="330" t="s">
        <v>1397</v>
      </c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</row>
    <row r="8" spans="1:387" s="26" customFormat="1" ht="99.95" customHeight="1">
      <c r="A8" s="221" t="s">
        <v>38</v>
      </c>
      <c r="B8" s="125" t="s">
        <v>18</v>
      </c>
      <c r="C8" s="125" t="s">
        <v>18</v>
      </c>
      <c r="D8" s="125" t="s">
        <v>18</v>
      </c>
      <c r="E8" s="125" t="s">
        <v>18</v>
      </c>
      <c r="F8" s="125" t="s">
        <v>18</v>
      </c>
      <c r="G8" s="125" t="s">
        <v>18</v>
      </c>
      <c r="H8" s="125" t="s">
        <v>18</v>
      </c>
      <c r="I8" s="125" t="s">
        <v>18</v>
      </c>
      <c r="J8" s="125" t="s">
        <v>18</v>
      </c>
      <c r="K8" s="125" t="s">
        <v>18</v>
      </c>
      <c r="L8" s="125" t="s">
        <v>18</v>
      </c>
      <c r="M8" s="36" t="s">
        <v>1655</v>
      </c>
      <c r="N8" s="36" t="s">
        <v>1655</v>
      </c>
      <c r="O8" s="36" t="s">
        <v>1655</v>
      </c>
      <c r="P8" s="36" t="s">
        <v>1656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 t="s">
        <v>1608</v>
      </c>
      <c r="AV8" s="36" t="s">
        <v>1608</v>
      </c>
      <c r="AW8" s="36" t="s">
        <v>1608</v>
      </c>
      <c r="AX8" s="36" t="s">
        <v>1608</v>
      </c>
      <c r="AY8" s="36" t="s">
        <v>1608</v>
      </c>
      <c r="AZ8" s="36" t="s">
        <v>1657</v>
      </c>
      <c r="BA8" s="36"/>
      <c r="BB8" s="36"/>
      <c r="BC8" s="36"/>
      <c r="BD8" s="36"/>
      <c r="BE8" s="36" t="s">
        <v>847</v>
      </c>
      <c r="BF8" s="36" t="s">
        <v>847</v>
      </c>
      <c r="BG8" s="90" t="s">
        <v>1658</v>
      </c>
      <c r="BH8" s="90" t="s">
        <v>1658</v>
      </c>
      <c r="BI8" s="36" t="s">
        <v>1659</v>
      </c>
      <c r="BJ8" s="36" t="s">
        <v>1659</v>
      </c>
      <c r="BK8" s="36" t="s">
        <v>1660</v>
      </c>
      <c r="BL8" s="36" t="s">
        <v>1661</v>
      </c>
      <c r="BM8" s="125" t="s">
        <v>842</v>
      </c>
      <c r="BN8" s="125" t="s">
        <v>848</v>
      </c>
      <c r="BO8" s="125" t="s">
        <v>848</v>
      </c>
      <c r="BP8" s="125" t="s">
        <v>848</v>
      </c>
      <c r="BQ8" s="125" t="s">
        <v>848</v>
      </c>
      <c r="BR8" s="118" t="s">
        <v>1322</v>
      </c>
      <c r="BS8" s="161" t="s">
        <v>1662</v>
      </c>
      <c r="BT8" s="161" t="s">
        <v>1662</v>
      </c>
      <c r="BU8" s="36" t="s">
        <v>102</v>
      </c>
      <c r="BV8" s="36" t="s">
        <v>102</v>
      </c>
      <c r="BW8" s="36" t="s">
        <v>102</v>
      </c>
      <c r="BX8" s="36" t="s">
        <v>102</v>
      </c>
      <c r="BY8" s="36" t="s">
        <v>1663</v>
      </c>
      <c r="BZ8" s="36" t="s">
        <v>1663</v>
      </c>
      <c r="CA8" s="36" t="s">
        <v>1663</v>
      </c>
      <c r="CB8" s="36" t="s">
        <v>1664</v>
      </c>
      <c r="CC8" s="36" t="s">
        <v>1664</v>
      </c>
      <c r="CD8" s="36" t="s">
        <v>1664</v>
      </c>
      <c r="CE8" s="36" t="s">
        <v>1665</v>
      </c>
      <c r="CF8" s="36" t="s">
        <v>1665</v>
      </c>
      <c r="CG8" s="36" t="s">
        <v>1665</v>
      </c>
      <c r="CH8" s="36" t="s">
        <v>1666</v>
      </c>
      <c r="CI8" s="36" t="s">
        <v>1666</v>
      </c>
      <c r="CJ8" s="156" t="s">
        <v>1614</v>
      </c>
      <c r="CK8" s="156" t="s">
        <v>1614</v>
      </c>
      <c r="CL8" s="156" t="s">
        <v>1614</v>
      </c>
      <c r="CM8" s="90" t="s">
        <v>1615</v>
      </c>
      <c r="CN8" s="167" t="s">
        <v>1615</v>
      </c>
      <c r="CO8" s="13" t="s">
        <v>1615</v>
      </c>
      <c r="CP8" s="13" t="s">
        <v>1615</v>
      </c>
      <c r="CQ8" s="13" t="s">
        <v>1617</v>
      </c>
      <c r="CR8" s="213" t="s">
        <v>1667</v>
      </c>
      <c r="CS8" s="13" t="s">
        <v>1617</v>
      </c>
      <c r="CT8" s="13" t="s">
        <v>1617</v>
      </c>
      <c r="CU8" s="13" t="s">
        <v>1617</v>
      </c>
      <c r="CV8" s="13" t="s">
        <v>1668</v>
      </c>
      <c r="CW8" s="13" t="s">
        <v>1668</v>
      </c>
      <c r="CX8" s="13" t="s">
        <v>1668</v>
      </c>
      <c r="CY8" s="13" t="s">
        <v>1668</v>
      </c>
      <c r="CZ8" s="213" t="s">
        <v>1669</v>
      </c>
      <c r="DA8" s="13" t="s">
        <v>1668</v>
      </c>
      <c r="DB8" s="13" t="s">
        <v>1668</v>
      </c>
      <c r="DC8" s="13" t="s">
        <v>1668</v>
      </c>
      <c r="DD8" s="165" t="s">
        <v>1670</v>
      </c>
      <c r="DE8" s="13" t="s">
        <v>1619</v>
      </c>
      <c r="DF8" s="13" t="s">
        <v>1619</v>
      </c>
      <c r="DG8" s="13" t="s">
        <v>1619</v>
      </c>
      <c r="DH8" s="13" t="s">
        <v>1619</v>
      </c>
      <c r="DI8" s="13" t="s">
        <v>1619</v>
      </c>
      <c r="DJ8" s="13" t="s">
        <v>1619</v>
      </c>
      <c r="DK8" s="13" t="s">
        <v>1619</v>
      </c>
      <c r="DL8" s="250" t="s">
        <v>1671</v>
      </c>
      <c r="DM8" s="112" t="s">
        <v>1332</v>
      </c>
      <c r="DN8" s="112" t="s">
        <v>1332</v>
      </c>
      <c r="DO8" s="112" t="s">
        <v>1332</v>
      </c>
      <c r="DP8" s="247" t="s">
        <v>1332</v>
      </c>
      <c r="DQ8" s="247" t="s">
        <v>1332</v>
      </c>
      <c r="DR8" s="144" t="s">
        <v>1341</v>
      </c>
      <c r="DS8" s="36" t="s">
        <v>1341</v>
      </c>
      <c r="DT8" s="105"/>
      <c r="DU8" s="105"/>
      <c r="DV8" s="250" t="s">
        <v>1672</v>
      </c>
      <c r="DW8" s="105" t="s">
        <v>1342</v>
      </c>
      <c r="DX8" s="105" t="s">
        <v>1342</v>
      </c>
      <c r="DY8" s="105" t="s">
        <v>1342</v>
      </c>
      <c r="DZ8" s="105" t="s">
        <v>1342</v>
      </c>
      <c r="EA8" s="105" t="s">
        <v>1342</v>
      </c>
      <c r="EB8" s="98" t="s">
        <v>1673</v>
      </c>
      <c r="EC8" s="98" t="s">
        <v>1673</v>
      </c>
      <c r="ED8" s="98" t="s">
        <v>1673</v>
      </c>
      <c r="EE8" s="98" t="s">
        <v>1673</v>
      </c>
      <c r="EF8" s="98" t="s">
        <v>1673</v>
      </c>
      <c r="EG8" s="98" t="s">
        <v>1569</v>
      </c>
      <c r="EH8" s="36" t="s">
        <v>875</v>
      </c>
      <c r="EI8" s="36" t="s">
        <v>877</v>
      </c>
      <c r="EJ8" s="36" t="s">
        <v>877</v>
      </c>
      <c r="EK8" s="36" t="s">
        <v>877</v>
      </c>
      <c r="EL8" s="36" t="s">
        <v>877</v>
      </c>
      <c r="EM8" s="36" t="s">
        <v>877</v>
      </c>
      <c r="EN8" s="36" t="s">
        <v>877</v>
      </c>
      <c r="EO8" s="36" t="s">
        <v>877</v>
      </c>
      <c r="EP8" s="36" t="s">
        <v>877</v>
      </c>
      <c r="EQ8" s="36" t="s">
        <v>877</v>
      </c>
      <c r="ER8" s="36" t="s">
        <v>877</v>
      </c>
      <c r="ES8" s="36" t="s">
        <v>877</v>
      </c>
      <c r="ET8" s="36" t="s">
        <v>877</v>
      </c>
      <c r="EU8" s="36" t="s">
        <v>877</v>
      </c>
      <c r="EV8" s="36"/>
      <c r="EW8" s="36"/>
      <c r="EX8" s="36"/>
      <c r="EY8" s="107"/>
      <c r="EZ8" s="36"/>
      <c r="FA8" s="116" t="s">
        <v>1576</v>
      </c>
      <c r="FB8" s="36"/>
      <c r="FC8" s="250" t="s">
        <v>1674</v>
      </c>
      <c r="FD8" s="36"/>
      <c r="FF8" s="250" t="s">
        <v>1675</v>
      </c>
      <c r="FG8" s="36"/>
      <c r="FH8" s="36"/>
      <c r="FI8" s="250" t="s">
        <v>1676</v>
      </c>
      <c r="FJ8" s="36"/>
      <c r="FK8" s="36"/>
      <c r="FL8" s="36"/>
      <c r="FM8" s="36" t="s">
        <v>1677</v>
      </c>
      <c r="FN8" s="36" t="s">
        <v>1677</v>
      </c>
      <c r="FO8" s="36" t="s">
        <v>1677</v>
      </c>
      <c r="FP8" s="328" t="s">
        <v>1581</v>
      </c>
      <c r="FQ8" s="328" t="s">
        <v>18</v>
      </c>
      <c r="FR8" s="328" t="s">
        <v>18</v>
      </c>
      <c r="FS8" s="328" t="s">
        <v>18</v>
      </c>
      <c r="FT8" s="328" t="s">
        <v>18</v>
      </c>
      <c r="FU8" s="107" t="s">
        <v>1678</v>
      </c>
      <c r="FV8" s="36"/>
      <c r="FW8" s="36"/>
      <c r="FX8" s="36" t="s">
        <v>1441</v>
      </c>
      <c r="FY8" s="36" t="s">
        <v>1441</v>
      </c>
      <c r="FZ8" s="36"/>
      <c r="GA8" s="36"/>
      <c r="GB8" s="144"/>
      <c r="GC8" s="328" t="s">
        <v>18</v>
      </c>
      <c r="GD8" s="328" t="s">
        <v>18</v>
      </c>
      <c r="GE8" s="36" t="s">
        <v>899</v>
      </c>
      <c r="GF8" s="36" t="s">
        <v>899</v>
      </c>
      <c r="GG8" s="36" t="s">
        <v>991</v>
      </c>
      <c r="GH8" s="36" t="s">
        <v>991</v>
      </c>
      <c r="GI8" s="36" t="s">
        <v>1444</v>
      </c>
      <c r="GJ8" s="36" t="s">
        <v>1444</v>
      </c>
      <c r="GK8" s="36" t="s">
        <v>1444</v>
      </c>
      <c r="GL8" s="36" t="s">
        <v>1444</v>
      </c>
      <c r="GM8" s="36"/>
      <c r="GN8" s="36"/>
      <c r="GO8" s="36"/>
      <c r="GP8" s="36"/>
      <c r="GQ8" s="36"/>
      <c r="GR8" s="36"/>
      <c r="GS8" s="36"/>
      <c r="GT8" s="36" t="s">
        <v>907</v>
      </c>
      <c r="GU8" s="36" t="s">
        <v>907</v>
      </c>
      <c r="GV8" s="36" t="s">
        <v>1365</v>
      </c>
      <c r="GW8" s="36" t="s">
        <v>1365</v>
      </c>
      <c r="GX8" s="36" t="s">
        <v>1365</v>
      </c>
      <c r="GY8" s="36" t="s">
        <v>1365</v>
      </c>
      <c r="GZ8" s="36" t="s">
        <v>1365</v>
      </c>
      <c r="HA8" s="36" t="s">
        <v>1365</v>
      </c>
      <c r="HB8" s="36" t="s">
        <v>1365</v>
      </c>
      <c r="HC8" s="36" t="s">
        <v>1365</v>
      </c>
      <c r="HD8" s="36" t="s">
        <v>1586</v>
      </c>
      <c r="HE8" s="36" t="s">
        <v>1586</v>
      </c>
      <c r="HF8" s="36" t="s">
        <v>1586</v>
      </c>
      <c r="HG8" s="36" t="s">
        <v>1586</v>
      </c>
      <c r="HH8" s="36" t="s">
        <v>1586</v>
      </c>
      <c r="HI8" s="36" t="s">
        <v>1586</v>
      </c>
      <c r="HJ8" s="350" t="s">
        <v>1679</v>
      </c>
      <c r="HK8" s="350" t="s">
        <v>1679</v>
      </c>
      <c r="HL8" s="350" t="s">
        <v>1679</v>
      </c>
      <c r="HM8" s="350" t="s">
        <v>1679</v>
      </c>
      <c r="HN8" s="386" t="s">
        <v>18</v>
      </c>
      <c r="HO8" s="386" t="s">
        <v>18</v>
      </c>
      <c r="HP8" s="386" t="s">
        <v>18</v>
      </c>
      <c r="HQ8" s="386" t="s">
        <v>18</v>
      </c>
      <c r="HR8" s="386" t="s">
        <v>18</v>
      </c>
      <c r="HS8" s="386" t="s">
        <v>18</v>
      </c>
      <c r="HT8" s="386" t="s">
        <v>18</v>
      </c>
      <c r="HU8" s="386" t="s">
        <v>18</v>
      </c>
      <c r="HV8" s="386" t="s">
        <v>18</v>
      </c>
      <c r="HW8" s="386" t="s">
        <v>18</v>
      </c>
      <c r="HX8" s="36"/>
      <c r="HY8" s="36" t="s">
        <v>1453</v>
      </c>
      <c r="HZ8" s="36" t="s">
        <v>1453</v>
      </c>
      <c r="IA8" s="36" t="s">
        <v>1454</v>
      </c>
      <c r="IB8" s="386" t="s">
        <v>18</v>
      </c>
      <c r="IC8" s="36" t="s">
        <v>1454</v>
      </c>
      <c r="ID8" s="258" t="s">
        <v>1454</v>
      </c>
      <c r="IE8" s="258" t="s">
        <v>1454</v>
      </c>
      <c r="IF8" s="258" t="s">
        <v>1454</v>
      </c>
      <c r="IG8" s="386" t="s">
        <v>18</v>
      </c>
      <c r="IH8" s="386" t="s">
        <v>1592</v>
      </c>
      <c r="II8" s="36" t="s">
        <v>1680</v>
      </c>
      <c r="IJ8" s="36" t="s">
        <v>1680</v>
      </c>
      <c r="IK8" s="36" t="s">
        <v>1680</v>
      </c>
      <c r="IL8" s="36" t="s">
        <v>1680</v>
      </c>
      <c r="IM8" s="36" t="s">
        <v>1680</v>
      </c>
      <c r="IN8" s="36" t="s">
        <v>1680</v>
      </c>
      <c r="IO8" s="330" t="s">
        <v>18</v>
      </c>
      <c r="IP8" s="330" t="s">
        <v>18</v>
      </c>
      <c r="IQ8" s="36" t="s">
        <v>1681</v>
      </c>
      <c r="IR8" s="36" t="s">
        <v>1681</v>
      </c>
      <c r="IS8" s="297" t="s">
        <v>1461</v>
      </c>
      <c r="IT8" s="297" t="s">
        <v>1461</v>
      </c>
      <c r="IU8" s="297" t="s">
        <v>1526</v>
      </c>
      <c r="IV8" s="651" t="s">
        <v>193</v>
      </c>
      <c r="IW8" s="297" t="s">
        <v>1682</v>
      </c>
      <c r="IX8" s="297" t="s">
        <v>1682</v>
      </c>
      <c r="IY8" s="297" t="s">
        <v>1682</v>
      </c>
      <c r="IZ8" s="297" t="s">
        <v>1682</v>
      </c>
      <c r="JA8" s="297" t="s">
        <v>1682</v>
      </c>
      <c r="JB8" s="36" t="s">
        <v>1528</v>
      </c>
      <c r="JC8" s="36" t="s">
        <v>1528</v>
      </c>
      <c r="JD8" s="36" t="s">
        <v>1528</v>
      </c>
      <c r="JE8" s="36" t="s">
        <v>1528</v>
      </c>
      <c r="JF8" s="36" t="s">
        <v>1528</v>
      </c>
      <c r="JG8" s="36" t="s">
        <v>927</v>
      </c>
      <c r="JH8" s="36" t="s">
        <v>927</v>
      </c>
      <c r="JI8" s="36" t="s">
        <v>927</v>
      </c>
      <c r="JJ8" s="148" t="s">
        <v>1683</v>
      </c>
      <c r="JK8" s="95" t="s">
        <v>928</v>
      </c>
      <c r="JL8" s="95" t="s">
        <v>928</v>
      </c>
      <c r="JM8" s="95" t="s">
        <v>928</v>
      </c>
      <c r="JN8" s="95" t="s">
        <v>928</v>
      </c>
      <c r="JO8" s="95" t="s">
        <v>928</v>
      </c>
      <c r="JP8" s="95" t="s">
        <v>928</v>
      </c>
      <c r="JQ8" s="700" t="s">
        <v>1679</v>
      </c>
      <c r="JR8" s="400" t="s">
        <v>1684</v>
      </c>
      <c r="JS8" s="400" t="s">
        <v>1684</v>
      </c>
      <c r="JT8" s="400" t="s">
        <v>1684</v>
      </c>
      <c r="JU8" s="400" t="s">
        <v>1684</v>
      </c>
      <c r="JV8" s="700" t="s">
        <v>1685</v>
      </c>
      <c r="JW8" s="350" t="s">
        <v>1685</v>
      </c>
      <c r="JX8" s="350" t="s">
        <v>1685</v>
      </c>
      <c r="JY8" s="36"/>
      <c r="JZ8" s="95"/>
      <c r="KA8" s="95"/>
      <c r="KB8" s="95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30" t="s">
        <v>1395</v>
      </c>
      <c r="LO8" s="330" t="s">
        <v>1396</v>
      </c>
      <c r="LP8" s="330" t="s">
        <v>1396</v>
      </c>
      <c r="LQ8" s="330" t="s">
        <v>1396</v>
      </c>
      <c r="LR8" s="330" t="s">
        <v>1396</v>
      </c>
      <c r="LS8" s="330" t="s">
        <v>1397</v>
      </c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</row>
    <row r="9" spans="1:387">
      <c r="CN9" s="228"/>
      <c r="CO9" s="145"/>
      <c r="CP9" s="145"/>
      <c r="CQ9" s="145"/>
      <c r="CR9" s="145"/>
      <c r="CS9" s="145"/>
      <c r="DP9" s="145"/>
      <c r="DQ9" s="145"/>
      <c r="DW9" s="36"/>
      <c r="FV9" s="145"/>
      <c r="FW9" s="145"/>
      <c r="FX9" s="145"/>
      <c r="FY9" s="145"/>
      <c r="FZ9" s="373"/>
      <c r="GA9" s="145"/>
      <c r="HK9" s="145"/>
      <c r="HL9" s="145"/>
      <c r="II9" s="145"/>
      <c r="IJ9" s="145"/>
      <c r="IK9" s="373"/>
      <c r="IL9" s="145"/>
      <c r="IM9" s="145"/>
      <c r="IN9" s="145"/>
      <c r="IY9" s="145"/>
      <c r="IZ9" s="145"/>
      <c r="JA9" s="145"/>
      <c r="KE9" s="145"/>
    </row>
    <row r="10" spans="1:387" ht="13.5" customHeight="1">
      <c r="DG10" s="243"/>
      <c r="DH10" s="244"/>
      <c r="DI10" s="244"/>
      <c r="DJ10" s="244"/>
      <c r="DK10" s="244"/>
      <c r="DL10" s="244"/>
      <c r="DM10" s="245"/>
      <c r="DN10" s="245"/>
      <c r="DO10" s="245"/>
      <c r="DP10" s="246"/>
      <c r="DQ10" s="246"/>
      <c r="IN10" s="145"/>
    </row>
    <row r="11" spans="1:387" ht="13.5" customHeight="1">
      <c r="IN11" s="145"/>
      <c r="JQ11" s="212"/>
      <c r="JR11" s="212"/>
      <c r="JS11" s="212"/>
      <c r="JT11" s="212"/>
      <c r="JU11" s="212"/>
    </row>
    <row r="12" spans="1:387" s="25" customFormat="1" ht="123" hidden="1" customHeight="1">
      <c r="A12" s="117" t="s">
        <v>30</v>
      </c>
      <c r="B12" s="90" t="s">
        <v>1686</v>
      </c>
      <c r="C12" s="90" t="s">
        <v>1686</v>
      </c>
      <c r="D12" s="118" t="s">
        <v>842</v>
      </c>
      <c r="E12" s="118" t="s">
        <v>842</v>
      </c>
      <c r="F12" s="118" t="s">
        <v>18</v>
      </c>
      <c r="G12" s="118" t="s">
        <v>18</v>
      </c>
      <c r="H12" s="118" t="s">
        <v>18</v>
      </c>
      <c r="I12" s="90" t="s">
        <v>837</v>
      </c>
      <c r="J12" s="90" t="s">
        <v>837</v>
      </c>
      <c r="K12" s="90" t="s">
        <v>837</v>
      </c>
      <c r="L12" s="90" t="s">
        <v>1687</v>
      </c>
      <c r="M12" s="90" t="s">
        <v>1127</v>
      </c>
      <c r="N12" s="90" t="s">
        <v>1127</v>
      </c>
      <c r="O12" s="90" t="s">
        <v>1127</v>
      </c>
      <c r="P12" s="90" t="s">
        <v>735</v>
      </c>
      <c r="Q12" s="118" t="s">
        <v>842</v>
      </c>
      <c r="R12" s="118" t="s">
        <v>842</v>
      </c>
      <c r="S12" s="90" t="s">
        <v>735</v>
      </c>
      <c r="T12" s="90" t="s">
        <v>735</v>
      </c>
      <c r="U12" s="90" t="s">
        <v>838</v>
      </c>
      <c r="V12" s="90" t="s">
        <v>838</v>
      </c>
      <c r="W12" s="90" t="s">
        <v>838</v>
      </c>
      <c r="X12" s="90" t="s">
        <v>838</v>
      </c>
      <c r="Y12" s="90" t="s">
        <v>1688</v>
      </c>
      <c r="Z12" s="90" t="s">
        <v>1688</v>
      </c>
      <c r="AA12" s="90" t="s">
        <v>1689</v>
      </c>
      <c r="AB12" s="90" t="s">
        <v>1689</v>
      </c>
      <c r="AC12" s="90" t="s">
        <v>1689</v>
      </c>
      <c r="AD12" s="218" t="s">
        <v>941</v>
      </c>
      <c r="AE12" s="90" t="s">
        <v>1690</v>
      </c>
      <c r="AF12" s="120" t="s">
        <v>1691</v>
      </c>
      <c r="AG12" s="120" t="s">
        <v>1692</v>
      </c>
      <c r="AH12" s="36" t="s">
        <v>741</v>
      </c>
      <c r="AI12" s="36" t="s">
        <v>741</v>
      </c>
      <c r="AJ12" s="36" t="s">
        <v>741</v>
      </c>
      <c r="AK12" s="36" t="s">
        <v>741</v>
      </c>
      <c r="AL12" s="36" t="s">
        <v>741</v>
      </c>
      <c r="AM12" s="36" t="s">
        <v>741</v>
      </c>
      <c r="AN12" s="36" t="s">
        <v>741</v>
      </c>
      <c r="AO12" s="36" t="s">
        <v>741</v>
      </c>
      <c r="AP12" s="36" t="s">
        <v>741</v>
      </c>
      <c r="AQ12" s="36" t="s">
        <v>741</v>
      </c>
      <c r="AR12" s="156" t="s">
        <v>1693</v>
      </c>
      <c r="AS12" s="36" t="s">
        <v>1694</v>
      </c>
      <c r="AT12" s="36" t="s">
        <v>1694</v>
      </c>
      <c r="AU12" s="36" t="s">
        <v>1694</v>
      </c>
      <c r="AV12" s="36" t="s">
        <v>1694</v>
      </c>
      <c r="AW12" s="36" t="s">
        <v>1694</v>
      </c>
      <c r="AX12" s="36" t="s">
        <v>1694</v>
      </c>
      <c r="AY12" s="60" t="s">
        <v>793</v>
      </c>
      <c r="AZ12" s="219" t="s">
        <v>1695</v>
      </c>
      <c r="BA12" s="90" t="s">
        <v>1658</v>
      </c>
      <c r="BB12" s="90" t="s">
        <v>1658</v>
      </c>
      <c r="BC12" s="90" t="s">
        <v>1658</v>
      </c>
      <c r="BD12" s="90" t="s">
        <v>1658</v>
      </c>
      <c r="BE12" s="36" t="s">
        <v>847</v>
      </c>
      <c r="BF12" s="118" t="s">
        <v>852</v>
      </c>
      <c r="BG12" s="118" t="s">
        <v>852</v>
      </c>
      <c r="BH12" s="118" t="s">
        <v>852</v>
      </c>
      <c r="BI12" s="118" t="s">
        <v>852</v>
      </c>
      <c r="BJ12" s="118" t="s">
        <v>852</v>
      </c>
      <c r="BK12" s="125" t="s">
        <v>18</v>
      </c>
      <c r="BL12" s="125" t="s">
        <v>18</v>
      </c>
      <c r="BM12" s="125" t="s">
        <v>842</v>
      </c>
      <c r="BN12" s="125" t="s">
        <v>18</v>
      </c>
      <c r="BO12" s="125" t="s">
        <v>18</v>
      </c>
      <c r="BP12" s="125" t="s">
        <v>18</v>
      </c>
      <c r="BQ12" s="125" t="s">
        <v>18</v>
      </c>
      <c r="BR12" s="125" t="s">
        <v>1322</v>
      </c>
      <c r="BS12" s="125" t="s">
        <v>18</v>
      </c>
      <c r="BT12" s="161" t="s">
        <v>1077</v>
      </c>
      <c r="BU12" s="161" t="s">
        <v>1077</v>
      </c>
      <c r="BV12" s="36" t="s">
        <v>102</v>
      </c>
      <c r="BW12" s="36" t="s">
        <v>102</v>
      </c>
      <c r="BX12" s="36" t="s">
        <v>102</v>
      </c>
      <c r="BY12" s="36" t="s">
        <v>1696</v>
      </c>
      <c r="BZ12" s="36" t="s">
        <v>1697</v>
      </c>
      <c r="CA12" s="124" t="s">
        <v>1698</v>
      </c>
      <c r="CB12" s="125" t="s">
        <v>1323</v>
      </c>
      <c r="CC12" s="118" t="s">
        <v>1699</v>
      </c>
      <c r="CD12" s="90" t="s">
        <v>1700</v>
      </c>
      <c r="CE12" s="90" t="s">
        <v>1611</v>
      </c>
      <c r="CF12" s="90" t="s">
        <v>1611</v>
      </c>
      <c r="CG12" s="90" t="s">
        <v>1701</v>
      </c>
      <c r="CH12" s="90" t="s">
        <v>1701</v>
      </c>
      <c r="CI12" s="118" t="s">
        <v>1325</v>
      </c>
      <c r="CJ12" s="90" t="s">
        <v>1701</v>
      </c>
      <c r="CK12" s="90" t="s">
        <v>1701</v>
      </c>
      <c r="CL12" s="90" t="s">
        <v>1701</v>
      </c>
      <c r="CM12" s="90" t="s">
        <v>1702</v>
      </c>
      <c r="CN12" s="226" t="s">
        <v>1703</v>
      </c>
      <c r="CO12" s="162" t="s">
        <v>1703</v>
      </c>
      <c r="CP12" s="213" t="s">
        <v>1704</v>
      </c>
      <c r="CQ12" s="213" t="s">
        <v>1705</v>
      </c>
      <c r="CR12" s="213" t="s">
        <v>1706</v>
      </c>
      <c r="CS12" s="21" t="s">
        <v>793</v>
      </c>
      <c r="CT12" s="150" t="s">
        <v>1707</v>
      </c>
      <c r="CU12" s="213" t="s">
        <v>1708</v>
      </c>
      <c r="CV12" s="213" t="s">
        <v>1709</v>
      </c>
      <c r="CW12" s="213" t="s">
        <v>1710</v>
      </c>
      <c r="CX12" s="213" t="s">
        <v>1711</v>
      </c>
      <c r="CY12" s="165" t="s">
        <v>1712</v>
      </c>
      <c r="CZ12" s="165" t="s">
        <v>1713</v>
      </c>
      <c r="DA12" s="107" t="s">
        <v>1714</v>
      </c>
      <c r="DB12" s="213" t="s">
        <v>1715</v>
      </c>
      <c r="DC12" s="107" t="s">
        <v>1714</v>
      </c>
      <c r="DD12" s="107" t="s">
        <v>1714</v>
      </c>
      <c r="DE12" s="165" t="s">
        <v>1716</v>
      </c>
      <c r="DF12" s="256" t="s">
        <v>1717</v>
      </c>
      <c r="DG12" s="107" t="s">
        <v>1718</v>
      </c>
      <c r="DH12" s="107" t="s">
        <v>1718</v>
      </c>
      <c r="DI12" s="107" t="s">
        <v>1718</v>
      </c>
      <c r="DJ12" s="107" t="s">
        <v>1718</v>
      </c>
      <c r="DK12" s="107" t="s">
        <v>1719</v>
      </c>
      <c r="DL12" s="107" t="s">
        <v>1720</v>
      </c>
      <c r="DM12" s="107" t="s">
        <v>1721</v>
      </c>
      <c r="DN12" s="107" t="s">
        <v>1721</v>
      </c>
      <c r="DO12" s="107" t="s">
        <v>1721</v>
      </c>
      <c r="DP12" s="107" t="s">
        <v>1721</v>
      </c>
      <c r="DQ12" s="107" t="s">
        <v>1721</v>
      </c>
      <c r="DR12" s="107" t="s">
        <v>1341</v>
      </c>
      <c r="DS12" s="107" t="s">
        <v>1341</v>
      </c>
      <c r="DT12" s="107" t="s">
        <v>1721</v>
      </c>
      <c r="DU12" s="98" t="s">
        <v>1343</v>
      </c>
      <c r="DV12" s="107" t="s">
        <v>1721</v>
      </c>
      <c r="DW12" s="107" t="s">
        <v>1721</v>
      </c>
      <c r="DX12" s="107" t="s">
        <v>1721</v>
      </c>
      <c r="DY12" s="107" t="s">
        <v>1721</v>
      </c>
      <c r="DZ12" s="107" t="s">
        <v>1721</v>
      </c>
      <c r="EA12" s="36" t="s">
        <v>1722</v>
      </c>
      <c r="EB12" s="115" t="s">
        <v>18</v>
      </c>
      <c r="EC12" s="124" t="s">
        <v>1723</v>
      </c>
      <c r="ED12" s="36" t="s">
        <v>1724</v>
      </c>
      <c r="EE12" s="36" t="s">
        <v>1724</v>
      </c>
      <c r="EF12" s="36" t="s">
        <v>779</v>
      </c>
      <c r="EG12" s="329" t="s">
        <v>18</v>
      </c>
      <c r="EH12" s="36" t="s">
        <v>877</v>
      </c>
      <c r="EI12" s="36" t="s">
        <v>877</v>
      </c>
      <c r="EJ12" s="36" t="s">
        <v>877</v>
      </c>
      <c r="EK12" s="36" t="s">
        <v>877</v>
      </c>
      <c r="EL12" s="36" t="s">
        <v>877</v>
      </c>
      <c r="EM12" s="329" t="s">
        <v>18</v>
      </c>
      <c r="EN12" s="329" t="s">
        <v>18</v>
      </c>
      <c r="EO12" s="329" t="s">
        <v>18</v>
      </c>
      <c r="EP12" s="329" t="s">
        <v>18</v>
      </c>
      <c r="EQ12" s="36" t="s">
        <v>1725</v>
      </c>
      <c r="ER12" s="36" t="s">
        <v>1725</v>
      </c>
      <c r="ES12" s="36" t="s">
        <v>1725</v>
      </c>
      <c r="ET12" s="36" t="s">
        <v>1725</v>
      </c>
      <c r="EU12" s="36" t="s">
        <v>1725</v>
      </c>
      <c r="EV12" s="36"/>
      <c r="EW12" s="36"/>
      <c r="EX12" s="36" t="s">
        <v>1726</v>
      </c>
      <c r="EY12" s="107"/>
      <c r="EZ12" s="329" t="s">
        <v>1093</v>
      </c>
      <c r="FA12" s="250" t="s">
        <v>1727</v>
      </c>
      <c r="FB12" s="250" t="s">
        <v>1728</v>
      </c>
      <c r="FC12" s="250" t="s">
        <v>1729</v>
      </c>
      <c r="FD12" s="250" t="s">
        <v>1730</v>
      </c>
      <c r="FE12" s="250" t="s">
        <v>1731</v>
      </c>
      <c r="FF12" s="250" t="s">
        <v>1732</v>
      </c>
      <c r="FG12" s="250" t="s">
        <v>1733</v>
      </c>
      <c r="FH12" s="250" t="s">
        <v>1734</v>
      </c>
      <c r="FI12" s="250" t="s">
        <v>1735</v>
      </c>
      <c r="FJ12" s="36" t="s">
        <v>27</v>
      </c>
      <c r="FK12" s="250" t="s">
        <v>1736</v>
      </c>
      <c r="FL12" s="342" t="s">
        <v>1737</v>
      </c>
      <c r="FM12" s="353"/>
      <c r="FN12" s="353"/>
      <c r="FO12" s="353"/>
      <c r="FP12" s="353"/>
      <c r="FQ12" s="353"/>
      <c r="FR12" s="353"/>
      <c r="FS12" s="354" t="s">
        <v>1360</v>
      </c>
      <c r="FT12" s="353"/>
      <c r="FU12" s="353"/>
      <c r="FV12" s="353"/>
      <c r="FW12" s="353"/>
      <c r="FX12" s="353"/>
      <c r="FY12" s="353"/>
      <c r="FZ12" s="353"/>
      <c r="GA12" s="353"/>
      <c r="GB12" s="353"/>
      <c r="GC12" s="353"/>
      <c r="GD12" s="353"/>
      <c r="GE12" s="353"/>
      <c r="GF12" s="353"/>
      <c r="GG12" s="353"/>
      <c r="GH12" s="353"/>
      <c r="GI12" s="353"/>
      <c r="GJ12" s="353"/>
      <c r="GK12" s="353"/>
      <c r="GL12" s="353"/>
      <c r="GM12" s="353"/>
      <c r="GN12" s="353"/>
      <c r="GO12" s="353"/>
      <c r="GP12" s="353"/>
      <c r="GQ12" s="353"/>
      <c r="GR12" s="353"/>
      <c r="GS12" s="353"/>
      <c r="GT12" s="353"/>
      <c r="GU12" s="353"/>
      <c r="GV12" s="353"/>
      <c r="GW12" s="353"/>
      <c r="GX12" s="353"/>
      <c r="GY12" s="353"/>
      <c r="GZ12" s="353"/>
      <c r="HA12" s="353"/>
      <c r="HB12" s="353"/>
      <c r="HC12" s="353"/>
      <c r="HD12" s="353"/>
      <c r="HE12" s="353"/>
      <c r="HF12" s="353"/>
      <c r="HG12" s="353"/>
      <c r="HH12" s="353"/>
      <c r="HI12" s="353"/>
      <c r="HJ12" s="353"/>
      <c r="HK12" s="353"/>
      <c r="HL12" s="353"/>
      <c r="HM12" s="371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107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</row>
    <row r="13" spans="1:387">
      <c r="FF13" s="90"/>
      <c r="FG13" s="238"/>
      <c r="FH13" s="90"/>
      <c r="FI13" s="90"/>
      <c r="FJ13" s="90"/>
      <c r="FK13" s="90"/>
      <c r="FL13" s="90"/>
      <c r="FM13" s="90"/>
      <c r="FN13" s="90"/>
      <c r="FO13" s="90"/>
      <c r="FP13" s="90"/>
      <c r="FQ13" s="90"/>
      <c r="FR13" s="90"/>
      <c r="FS13" s="90"/>
      <c r="FT13" s="90"/>
      <c r="FU13" s="90"/>
    </row>
    <row r="14" spans="1:387" ht="13.5" customHeight="1">
      <c r="DA14" s="112"/>
      <c r="DB14" s="112"/>
      <c r="DC14" s="112"/>
    </row>
  </sheetData>
  <autoFilter ref="A2:AG8" xr:uid="{1CE8003C-4BF2-4E23-86CE-BE3BC7D8002A}"/>
  <conditionalFormatting sqref="B1:CM2 CN1:NW1">
    <cfRule type="containsText" dxfId="31" priority="10" operator="containsText" text="Jess">
      <formula>NOT(ISERROR(SEARCH("Jess",B1)))</formula>
    </cfRule>
  </conditionalFormatting>
  <conditionalFormatting sqref="CN2:CR2">
    <cfRule type="containsText" dxfId="30" priority="9" operator="containsText" text="Jess">
      <formula>NOT(ISERROR(SEARCH("Jess",CN2)))</formula>
    </cfRule>
  </conditionalFormatting>
  <conditionalFormatting sqref="CS2:CW2">
    <cfRule type="containsText" dxfId="29" priority="8" operator="containsText" text="Jess">
      <formula>NOT(ISERROR(SEARCH("Jess",CS2)))</formula>
    </cfRule>
  </conditionalFormatting>
  <conditionalFormatting sqref="CX2:DB2">
    <cfRule type="containsText" dxfId="28" priority="7" operator="containsText" text="Jess">
      <formula>NOT(ISERROR(SEARCH("Jess",CX2)))</formula>
    </cfRule>
  </conditionalFormatting>
  <conditionalFormatting sqref="DC2:DG2">
    <cfRule type="containsText" dxfId="27" priority="6" operator="containsText" text="Jess">
      <formula>NOT(ISERROR(SEARCH("Jess",DC2)))</formula>
    </cfRule>
  </conditionalFormatting>
  <conditionalFormatting sqref="DH2:DL2">
    <cfRule type="containsText" dxfId="26" priority="5" operator="containsText" text="Jess">
      <formula>NOT(ISERROR(SEARCH("Jess",DH2)))</formula>
    </cfRule>
  </conditionalFormatting>
  <conditionalFormatting sqref="DM2:DQ2">
    <cfRule type="containsText" dxfId="25" priority="4" operator="containsText" text="Jess">
      <formula>NOT(ISERROR(SEARCH("Jess",DM2)))</formula>
    </cfRule>
  </conditionalFormatting>
  <conditionalFormatting sqref="DR2:DV2">
    <cfRule type="containsText" dxfId="24" priority="3" operator="containsText" text="Jess">
      <formula>NOT(ISERROR(SEARCH("Jess",DR2)))</formula>
    </cfRule>
  </conditionalFormatting>
  <conditionalFormatting sqref="DW2:EA2">
    <cfRule type="containsText" dxfId="23" priority="2" operator="containsText" text="Jess">
      <formula>NOT(ISERROR(SEARCH("Jess",DW2)))</formula>
    </cfRule>
  </conditionalFormatting>
  <conditionalFormatting sqref="EB2:NB2">
    <cfRule type="containsText" dxfId="22" priority="1" operator="containsText" text="Jess">
      <formula>NOT(ISERROR(SEARCH("Jess",EB2)))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3C4E-CC68-1843-B9B1-4C41D000C9D2}">
  <sheetPr>
    <tabColor theme="0"/>
  </sheetPr>
  <dimension ref="A1:LU17"/>
  <sheetViews>
    <sheetView showGridLines="0" zoomScale="120" zoomScaleNormal="120" workbookViewId="0">
      <pane xSplit="1" ySplit="3" topLeftCell="JM4" activePane="bottomRight" state="frozen"/>
      <selection pane="bottomRight" activeCell="JK15" sqref="JK15"/>
      <selection pane="bottomLeft" activeCell="AG3" sqref="AG3"/>
      <selection pane="topRight" activeCell="AG3" sqref="AG3"/>
    </sheetView>
  </sheetViews>
  <sheetFormatPr defaultColWidth="17.5" defaultRowHeight="13.5"/>
  <cols>
    <col min="1" max="1" width="7" style="135" bestFit="1" customWidth="1"/>
    <col min="2" max="2" width="20.125" style="135" hidden="1" customWidth="1"/>
    <col min="3" max="3" width="17" style="135" hidden="1" customWidth="1"/>
    <col min="4" max="4" width="22.625" style="135" hidden="1" customWidth="1"/>
    <col min="5" max="5" width="27.125" style="135" hidden="1" customWidth="1"/>
    <col min="6" max="6" width="63.375" style="135" hidden="1" customWidth="1"/>
    <col min="7" max="7" width="39.625" style="135" hidden="1" customWidth="1"/>
    <col min="8" max="8" width="29.5" style="135" hidden="1" customWidth="1"/>
    <col min="9" max="9" width="18.5" style="135" hidden="1" customWidth="1"/>
    <col min="10" max="10" width="29.5" style="135" bestFit="1" customWidth="1"/>
    <col min="11" max="11" width="19.125" style="135" customWidth="1"/>
    <col min="12" max="12" width="15.625" style="135" customWidth="1"/>
    <col min="13" max="13" width="16" style="135" customWidth="1"/>
    <col min="14" max="14" width="16.875" style="135" customWidth="1"/>
    <col min="15" max="15" width="14" style="135" bestFit="1" customWidth="1"/>
    <col min="16" max="16" width="19.625" style="135" customWidth="1"/>
    <col min="17" max="17" width="17" style="135" customWidth="1"/>
    <col min="18" max="18" width="14" style="135" bestFit="1" customWidth="1"/>
    <col min="19" max="19" width="12.375" style="135" bestFit="1" customWidth="1"/>
    <col min="20" max="20" width="10.625" style="135" bestFit="1" customWidth="1"/>
    <col min="21" max="21" width="16.875" style="135" customWidth="1"/>
    <col min="22" max="22" width="11.875" style="135" bestFit="1" customWidth="1"/>
    <col min="23" max="23" width="14" style="135" bestFit="1" customWidth="1"/>
    <col min="24" max="24" width="12.375" style="135" bestFit="1" customWidth="1"/>
    <col min="25" max="25" width="10.375" style="135" bestFit="1" customWidth="1"/>
    <col min="26" max="26" width="25.375" style="135" bestFit="1" customWidth="1"/>
    <col min="27" max="27" width="17.875" style="135" bestFit="1" customWidth="1"/>
    <col min="28" max="28" width="16.875" style="135" bestFit="1" customWidth="1"/>
    <col min="29" max="29" width="21.625" style="135" customWidth="1"/>
    <col min="30" max="30" width="20.125" style="135" customWidth="1"/>
    <col min="31" max="31" width="17.375" style="135" bestFit="1" customWidth="1"/>
    <col min="32" max="32" width="15.375" style="135" customWidth="1"/>
    <col min="33" max="33" width="14" style="135" bestFit="1" customWidth="1"/>
    <col min="34" max="34" width="12.375" style="135" bestFit="1" customWidth="1"/>
    <col min="35" max="35" width="10.375" style="135" bestFit="1" customWidth="1"/>
    <col min="36" max="36" width="17" style="135" bestFit="1" customWidth="1"/>
    <col min="37" max="37" width="17.875" style="135" customWidth="1"/>
    <col min="38" max="38" width="15.375" style="135" customWidth="1"/>
    <col min="39" max="39" width="12.625" style="135" customWidth="1"/>
    <col min="40" max="45" width="13.625" style="135" customWidth="1"/>
    <col min="46" max="46" width="19.875" style="135" bestFit="1" customWidth="1"/>
    <col min="47" max="50" width="19.875" style="135" customWidth="1"/>
    <col min="51" max="51" width="33.625" style="135" bestFit="1" customWidth="1"/>
    <col min="52" max="52" width="27.875" style="135" customWidth="1"/>
    <col min="53" max="53" width="24.375" style="135" bestFit="1" customWidth="1"/>
    <col min="54" max="54" width="15.25" style="135" customWidth="1"/>
    <col min="55" max="160" width="17.5" style="135"/>
    <col min="161" max="161" width="17.5" style="253"/>
    <col min="162" max="185" width="17.5" style="135"/>
    <col min="186" max="186" width="21.5" style="135" customWidth="1"/>
    <col min="187" max="270" width="17.5" style="135"/>
    <col min="271" max="271" width="18.75" style="135" customWidth="1"/>
    <col min="272" max="16384" width="17.5" style="135"/>
  </cols>
  <sheetData>
    <row r="1" spans="1:333" ht="15.75">
      <c r="A1" s="136"/>
      <c r="B1" s="1">
        <v>45873</v>
      </c>
      <c r="C1" s="1">
        <f>WORKDAY(B1,5)</f>
        <v>45880</v>
      </c>
      <c r="D1" s="1">
        <f t="shared" ref="D1:J2" si="0">WORKDAY(C1,5)</f>
        <v>45887</v>
      </c>
      <c r="E1" s="1">
        <f t="shared" si="0"/>
        <v>45894</v>
      </c>
      <c r="F1" s="1">
        <f t="shared" si="0"/>
        <v>45901</v>
      </c>
      <c r="G1" s="1">
        <f t="shared" si="0"/>
        <v>45908</v>
      </c>
      <c r="H1" s="1">
        <f t="shared" si="0"/>
        <v>45915</v>
      </c>
      <c r="I1" s="1">
        <f t="shared" si="0"/>
        <v>45922</v>
      </c>
      <c r="J1" s="1">
        <f t="shared" si="0"/>
        <v>45929</v>
      </c>
      <c r="K1" s="1">
        <f>WORKDAY(J1,5)</f>
        <v>45936</v>
      </c>
      <c r="L1" s="1"/>
      <c r="M1" s="1"/>
      <c r="N1" s="1"/>
      <c r="O1" s="1"/>
      <c r="P1" s="1">
        <f>WORKDAY(K1,5)</f>
        <v>45943</v>
      </c>
      <c r="Q1" s="1"/>
      <c r="R1" s="1"/>
      <c r="S1" s="1"/>
      <c r="T1" s="1"/>
      <c r="U1" s="1">
        <f>WORKDAY(P1,5)</f>
        <v>45950</v>
      </c>
      <c r="V1" s="1"/>
      <c r="W1" s="1"/>
      <c r="X1" s="1"/>
      <c r="Y1" s="1"/>
      <c r="Z1" s="1">
        <f>WORKDAY(U1,5)</f>
        <v>45957</v>
      </c>
      <c r="AA1" s="1"/>
      <c r="AB1" s="1"/>
      <c r="AC1" s="1"/>
      <c r="AD1" s="1"/>
      <c r="AE1" s="1">
        <f>WORKDAY(Z1,5)</f>
        <v>45964</v>
      </c>
      <c r="AF1" s="1"/>
      <c r="AG1" s="1"/>
      <c r="AH1" s="1"/>
      <c r="AI1" s="1"/>
      <c r="AJ1" s="1">
        <f>WORKDAY(AE1,5)</f>
        <v>45971</v>
      </c>
      <c r="AK1" s="1">
        <v>45972</v>
      </c>
      <c r="AL1" s="1">
        <v>45973</v>
      </c>
      <c r="AM1" s="1">
        <v>45974</v>
      </c>
      <c r="AN1" s="1">
        <v>45975</v>
      </c>
      <c r="AO1" s="1">
        <f>WORKDAY(AJ1,5)</f>
        <v>45978</v>
      </c>
      <c r="AP1" s="1">
        <v>45979</v>
      </c>
      <c r="AQ1" s="1">
        <v>45980</v>
      </c>
      <c r="AR1" s="1">
        <v>45981</v>
      </c>
      <c r="AS1" s="1">
        <v>45982</v>
      </c>
      <c r="AT1" s="1">
        <f>WORKDAY(AO1,5)</f>
        <v>45985</v>
      </c>
      <c r="AU1" s="1">
        <f t="shared" ref="AU1:AW1" si="1">WORKDAY(AP1,5)</f>
        <v>45986</v>
      </c>
      <c r="AV1" s="1">
        <f t="shared" si="1"/>
        <v>45987</v>
      </c>
      <c r="AW1" s="1">
        <f t="shared" si="1"/>
        <v>45988</v>
      </c>
      <c r="AX1" s="1">
        <f>WORKDAY(AS1,5)</f>
        <v>45989</v>
      </c>
      <c r="AY1" s="61">
        <v>45992</v>
      </c>
      <c r="AZ1" s="62">
        <v>45993</v>
      </c>
      <c r="BA1" s="62">
        <v>45994</v>
      </c>
      <c r="BB1" s="62">
        <v>45995</v>
      </c>
      <c r="BC1" s="62">
        <v>45996</v>
      </c>
      <c r="BD1" s="62">
        <v>45999</v>
      </c>
      <c r="BE1" s="62">
        <v>46000</v>
      </c>
      <c r="BF1" s="62">
        <v>46001</v>
      </c>
      <c r="BG1" s="62">
        <v>46002</v>
      </c>
      <c r="BH1" s="62">
        <v>46003</v>
      </c>
      <c r="BI1" s="62">
        <v>46006</v>
      </c>
      <c r="BJ1" s="62">
        <v>46007</v>
      </c>
      <c r="BK1" s="62">
        <v>46008</v>
      </c>
      <c r="BL1" s="62">
        <v>46009</v>
      </c>
      <c r="BM1" s="62">
        <v>46010</v>
      </c>
      <c r="BN1" s="63">
        <v>46013</v>
      </c>
      <c r="BO1" s="64">
        <v>46014</v>
      </c>
      <c r="BP1" s="64">
        <v>46015</v>
      </c>
      <c r="BQ1" s="64">
        <v>46016</v>
      </c>
      <c r="BR1" s="64">
        <v>46017</v>
      </c>
      <c r="BS1" s="64">
        <v>46020</v>
      </c>
      <c r="BT1" s="64">
        <v>46021</v>
      </c>
      <c r="BU1" s="64">
        <v>46022</v>
      </c>
      <c r="BV1" s="64">
        <v>45658</v>
      </c>
      <c r="BW1" s="64">
        <v>46024</v>
      </c>
      <c r="BX1" s="64">
        <v>45662</v>
      </c>
      <c r="BY1" s="64">
        <v>45663</v>
      </c>
      <c r="BZ1" s="64">
        <v>45664</v>
      </c>
      <c r="CA1" s="64">
        <v>45665</v>
      </c>
      <c r="CB1" s="64">
        <v>45666</v>
      </c>
      <c r="CC1" s="64">
        <v>46034</v>
      </c>
      <c r="CD1" s="64">
        <v>46035</v>
      </c>
      <c r="CE1" s="64">
        <v>46036</v>
      </c>
      <c r="CF1" s="64">
        <v>46037</v>
      </c>
      <c r="CG1" s="64">
        <v>46038</v>
      </c>
      <c r="CH1" s="64">
        <v>46041</v>
      </c>
      <c r="CI1" s="64">
        <v>46042</v>
      </c>
      <c r="CJ1" s="64">
        <v>46043</v>
      </c>
      <c r="CK1" s="64">
        <v>46044</v>
      </c>
      <c r="CL1" s="64">
        <v>46045</v>
      </c>
      <c r="CM1" s="64">
        <v>46048</v>
      </c>
      <c r="CN1" s="64">
        <v>46049</v>
      </c>
      <c r="CO1" s="64">
        <v>46050</v>
      </c>
      <c r="CP1" s="64">
        <v>46051</v>
      </c>
      <c r="CQ1" s="64">
        <v>46052</v>
      </c>
      <c r="CR1" s="214">
        <f t="shared" ref="CR1:EJ1" si="2">WORKDAY(CQ1,1)</f>
        <v>46055</v>
      </c>
      <c r="CS1" s="92">
        <f t="shared" si="2"/>
        <v>46056</v>
      </c>
      <c r="CT1" s="92">
        <f t="shared" si="2"/>
        <v>46057</v>
      </c>
      <c r="CU1" s="92">
        <f t="shared" si="2"/>
        <v>46058</v>
      </c>
      <c r="CV1" s="92">
        <f t="shared" si="2"/>
        <v>46059</v>
      </c>
      <c r="CW1" s="92">
        <f t="shared" si="2"/>
        <v>46062</v>
      </c>
      <c r="CX1" s="92">
        <f t="shared" si="2"/>
        <v>46063</v>
      </c>
      <c r="CY1" s="92">
        <f t="shared" si="2"/>
        <v>46064</v>
      </c>
      <c r="CZ1" s="92">
        <f t="shared" si="2"/>
        <v>46065</v>
      </c>
      <c r="DA1" s="92">
        <f t="shared" si="2"/>
        <v>46066</v>
      </c>
      <c r="DB1" s="92">
        <f t="shared" si="2"/>
        <v>46069</v>
      </c>
      <c r="DC1" s="92">
        <f t="shared" si="2"/>
        <v>46070</v>
      </c>
      <c r="DD1" s="92">
        <f t="shared" si="2"/>
        <v>46071</v>
      </c>
      <c r="DE1" s="92">
        <f t="shared" si="2"/>
        <v>46072</v>
      </c>
      <c r="DF1" s="92">
        <f t="shared" si="2"/>
        <v>46073</v>
      </c>
      <c r="DG1" s="92">
        <f t="shared" si="2"/>
        <v>46076</v>
      </c>
      <c r="DH1" s="92">
        <f t="shared" si="2"/>
        <v>46077</v>
      </c>
      <c r="DI1" s="92">
        <f t="shared" si="2"/>
        <v>46078</v>
      </c>
      <c r="DJ1" s="92">
        <f t="shared" si="2"/>
        <v>46079</v>
      </c>
      <c r="DK1" s="92">
        <f t="shared" si="2"/>
        <v>46080</v>
      </c>
      <c r="DL1" s="92">
        <f t="shared" si="2"/>
        <v>46083</v>
      </c>
      <c r="DM1" s="92">
        <f t="shared" si="2"/>
        <v>46084</v>
      </c>
      <c r="DN1" s="92">
        <f t="shared" si="2"/>
        <v>46085</v>
      </c>
      <c r="DO1" s="92">
        <f t="shared" si="2"/>
        <v>46086</v>
      </c>
      <c r="DP1" s="92">
        <f t="shared" si="2"/>
        <v>46087</v>
      </c>
      <c r="DQ1" s="92">
        <f t="shared" si="2"/>
        <v>46090</v>
      </c>
      <c r="DR1" s="92">
        <f t="shared" si="2"/>
        <v>46091</v>
      </c>
      <c r="DS1" s="92">
        <f t="shared" si="2"/>
        <v>46092</v>
      </c>
      <c r="DT1" s="92">
        <f t="shared" si="2"/>
        <v>46093</v>
      </c>
      <c r="DU1" s="92">
        <f t="shared" si="2"/>
        <v>46094</v>
      </c>
      <c r="DV1" s="92">
        <f t="shared" si="2"/>
        <v>46097</v>
      </c>
      <c r="DW1" s="92">
        <f t="shared" si="2"/>
        <v>46098</v>
      </c>
      <c r="DX1" s="92">
        <f t="shared" si="2"/>
        <v>46099</v>
      </c>
      <c r="DY1" s="92">
        <f t="shared" si="2"/>
        <v>46100</v>
      </c>
      <c r="DZ1" s="92">
        <f t="shared" si="2"/>
        <v>46101</v>
      </c>
      <c r="EA1" s="92">
        <f t="shared" si="2"/>
        <v>46104</v>
      </c>
      <c r="EB1" s="92">
        <f t="shared" si="2"/>
        <v>46105</v>
      </c>
      <c r="EC1" s="92">
        <f t="shared" si="2"/>
        <v>46106</v>
      </c>
      <c r="ED1" s="92">
        <f t="shared" si="2"/>
        <v>46107</v>
      </c>
      <c r="EE1" s="92">
        <f t="shared" si="2"/>
        <v>46108</v>
      </c>
      <c r="EF1" s="92">
        <f t="shared" si="2"/>
        <v>46111</v>
      </c>
      <c r="EG1" s="109">
        <f t="shared" si="2"/>
        <v>46112</v>
      </c>
      <c r="EH1" s="92">
        <f t="shared" si="2"/>
        <v>46113</v>
      </c>
      <c r="EI1" s="92">
        <f t="shared" si="2"/>
        <v>46114</v>
      </c>
      <c r="EJ1" s="109">
        <f t="shared" si="2"/>
        <v>46115</v>
      </c>
      <c r="EK1" s="92">
        <f>WORKDAY(EJ1,1)</f>
        <v>46118</v>
      </c>
      <c r="EL1" s="92">
        <f>WORKDAY(EK1,1)</f>
        <v>46119</v>
      </c>
      <c r="EM1" s="92">
        <f>WORKDAY(EL1,1)</f>
        <v>46120</v>
      </c>
      <c r="EN1" s="92">
        <f>WORKDAY(EM1,1)</f>
        <v>46121</v>
      </c>
      <c r="EO1" s="92">
        <f>WORKDAY(EN1,1)</f>
        <v>46122</v>
      </c>
      <c r="EP1" s="92">
        <f>WORKDAY(EO1,1)</f>
        <v>46125</v>
      </c>
      <c r="EQ1" s="92">
        <f>WORKDAY(EP1,1)</f>
        <v>46126</v>
      </c>
      <c r="ER1" s="214">
        <f>WORKDAY(EQ1,1)</f>
        <v>46127</v>
      </c>
      <c r="ES1" s="92">
        <f>WORKDAY(ER1,1)</f>
        <v>46128</v>
      </c>
      <c r="ET1" s="92">
        <f>WORKDAY(ES1,1)</f>
        <v>46129</v>
      </c>
      <c r="EU1" s="92">
        <f>WORKDAY(ET1,1)</f>
        <v>46132</v>
      </c>
      <c r="EV1" s="92">
        <f>WORKDAY(EU1,1)</f>
        <v>46133</v>
      </c>
      <c r="EW1" s="92">
        <f>WORKDAY(EV1,1)</f>
        <v>46134</v>
      </c>
      <c r="EX1" s="92">
        <f>WORKDAY(EW1,1)</f>
        <v>46135</v>
      </c>
      <c r="EY1" s="92">
        <f>WORKDAY(EX1,1)</f>
        <v>46136</v>
      </c>
      <c r="EZ1" s="92">
        <f>WORKDAY(EY1,1)</f>
        <v>46139</v>
      </c>
      <c r="FA1" s="92">
        <f>WORKDAY(EZ1,1)</f>
        <v>46140</v>
      </c>
      <c r="FB1" s="92">
        <f>WORKDAY(FA1,1)</f>
        <v>46141</v>
      </c>
      <c r="FC1" s="109">
        <f>WORKDAY(FB1,1)</f>
        <v>46142</v>
      </c>
      <c r="FD1" s="92">
        <f>WORKDAY(FC1,1)</f>
        <v>46143</v>
      </c>
      <c r="FE1" s="254">
        <f>WORKDAY(FD1,1)</f>
        <v>46146</v>
      </c>
      <c r="FF1" s="92">
        <f>WORKDAY(FE1,1)</f>
        <v>46147</v>
      </c>
      <c r="FG1" s="92">
        <f>WORKDAY(FF1,1)</f>
        <v>46148</v>
      </c>
      <c r="FH1" s="92">
        <f t="shared" ref="FH1:FI1" si="3">WORKDAY(FG1,1)</f>
        <v>46149</v>
      </c>
      <c r="FI1" s="92">
        <f t="shared" si="3"/>
        <v>46150</v>
      </c>
      <c r="FJ1" s="92">
        <f>WORKDAY(FI1,1)</f>
        <v>46153</v>
      </c>
      <c r="FK1" s="92">
        <f>WORKDAY(FJ1,1)</f>
        <v>46154</v>
      </c>
      <c r="FL1" s="92">
        <f>WORKDAY(FK1,1)</f>
        <v>46155</v>
      </c>
      <c r="FM1" s="92">
        <f>WORKDAY(FL1,1)</f>
        <v>46156</v>
      </c>
      <c r="FN1" s="92">
        <f>WORKDAY(FM1,1)</f>
        <v>46157</v>
      </c>
      <c r="FO1" s="92">
        <f>WORKDAY(FN1,1)</f>
        <v>46160</v>
      </c>
      <c r="FP1" s="92">
        <f>WORKDAY(FO1,1)</f>
        <v>46161</v>
      </c>
      <c r="FQ1" s="92">
        <f>WORKDAY(FP1,1)</f>
        <v>46162</v>
      </c>
      <c r="FR1" s="92">
        <f>WORKDAY(FQ1,1)</f>
        <v>46163</v>
      </c>
      <c r="FS1" s="92">
        <f>WORKDAY(FR1,1)</f>
        <v>46164</v>
      </c>
      <c r="FT1" s="92">
        <f>WORKDAY(FS1,1)</f>
        <v>46167</v>
      </c>
      <c r="FU1" s="92">
        <f>WORKDAY(FT1,1)</f>
        <v>46168</v>
      </c>
      <c r="FV1" s="92">
        <f>WORKDAY(FU1,1)</f>
        <v>46169</v>
      </c>
      <c r="FW1" s="92">
        <f>WORKDAY(FV1,1)</f>
        <v>46170</v>
      </c>
      <c r="FX1" s="92">
        <f>WORKDAY(FW1,1)</f>
        <v>46171</v>
      </c>
      <c r="FY1" s="92">
        <f>WORKDAY(FX1,1)</f>
        <v>46174</v>
      </c>
      <c r="FZ1" s="92">
        <f>WORKDAY(FY1,1)</f>
        <v>46175</v>
      </c>
      <c r="GA1" s="92">
        <f>WORKDAY(FZ1,1)</f>
        <v>46176</v>
      </c>
      <c r="GB1" s="92">
        <f>WORKDAY(GA1,1)</f>
        <v>46177</v>
      </c>
      <c r="GC1" s="92">
        <f>WORKDAY(GB1,1)</f>
        <v>46178</v>
      </c>
      <c r="GD1" s="92">
        <f>WORKDAY(GC1,1)</f>
        <v>46181</v>
      </c>
      <c r="GE1" s="92">
        <f>WORKDAY(GD1,1)</f>
        <v>46182</v>
      </c>
      <c r="GF1" s="92">
        <f>WORKDAY(GE1,1)</f>
        <v>46183</v>
      </c>
      <c r="GG1" s="92">
        <f>WORKDAY(GF1,1)</f>
        <v>46184</v>
      </c>
      <c r="GH1" s="92">
        <f>WORKDAY(GG1,1)</f>
        <v>46185</v>
      </c>
      <c r="GI1" s="92">
        <f>WORKDAY(GH1,1)</f>
        <v>46188</v>
      </c>
      <c r="GJ1" s="92">
        <f>WORKDAY(GI1,1)</f>
        <v>46189</v>
      </c>
      <c r="GK1" s="92">
        <f>WORKDAY(GJ1,1)</f>
        <v>46190</v>
      </c>
      <c r="GL1" s="92">
        <f>WORKDAY(GK1,1)</f>
        <v>46191</v>
      </c>
      <c r="GM1" s="92">
        <f>WORKDAY(GL1,1)</f>
        <v>46192</v>
      </c>
      <c r="GN1" s="92">
        <f>WORKDAY(GM1,1)</f>
        <v>46195</v>
      </c>
      <c r="GO1" s="92">
        <f>WORKDAY(GN1,1)</f>
        <v>46196</v>
      </c>
      <c r="GP1" s="92">
        <f>WORKDAY(GO1,1)</f>
        <v>46197</v>
      </c>
      <c r="GQ1" s="92">
        <f>WORKDAY(GP1,1)</f>
        <v>46198</v>
      </c>
      <c r="GR1" s="92">
        <f>WORKDAY(GQ1,1)</f>
        <v>46199</v>
      </c>
      <c r="GS1" s="92">
        <f>WORKDAY(GR1,1)</f>
        <v>46202</v>
      </c>
      <c r="GT1" s="92">
        <f>WORKDAY(GS1,1)</f>
        <v>46203</v>
      </c>
      <c r="GU1" s="92">
        <f>WORKDAY(GT1,1)</f>
        <v>46204</v>
      </c>
      <c r="GV1" s="92">
        <f>WORKDAY(GU1,1)</f>
        <v>46205</v>
      </c>
      <c r="GW1" s="92">
        <f>WORKDAY(GV1,1)</f>
        <v>46206</v>
      </c>
      <c r="GX1" s="92">
        <f>WORKDAY(GW1,1)</f>
        <v>46209</v>
      </c>
      <c r="GY1" s="92">
        <f>WORKDAY(GX1,1)</f>
        <v>46210</v>
      </c>
      <c r="GZ1" s="92">
        <f>WORKDAY(GY1,1)</f>
        <v>46211</v>
      </c>
      <c r="HA1" s="92">
        <f>WORKDAY(GZ1,1)</f>
        <v>46212</v>
      </c>
      <c r="HB1" s="92">
        <f>WORKDAY(HA1,1)</f>
        <v>46213</v>
      </c>
      <c r="HC1" s="92">
        <f>WORKDAY(HB1,1)</f>
        <v>46216</v>
      </c>
      <c r="HD1" s="92">
        <f>WORKDAY(HC1,1)</f>
        <v>46217</v>
      </c>
      <c r="HE1" s="92">
        <f>WORKDAY(HD1,1)</f>
        <v>46218</v>
      </c>
      <c r="HF1" s="92">
        <f>WORKDAY(HE1,1)</f>
        <v>46219</v>
      </c>
      <c r="HG1" s="92">
        <f>WORKDAY(HF1,1)</f>
        <v>46220</v>
      </c>
      <c r="HH1" s="92">
        <f>WORKDAY(HG1,1)</f>
        <v>46223</v>
      </c>
      <c r="HI1" s="92">
        <f>WORKDAY(HH1,1)</f>
        <v>46224</v>
      </c>
      <c r="HJ1" s="92">
        <f>WORKDAY(HI1,1)</f>
        <v>46225</v>
      </c>
      <c r="HK1" s="92">
        <f>WORKDAY(HJ1,1)</f>
        <v>46226</v>
      </c>
      <c r="HL1" s="92">
        <f>WORKDAY(HK1,1)</f>
        <v>46227</v>
      </c>
      <c r="HM1" s="92">
        <f>WORKDAY(HL1,1)</f>
        <v>46230</v>
      </c>
      <c r="HN1" s="92">
        <f>WORKDAY(HM1,1)</f>
        <v>46231</v>
      </c>
      <c r="HO1" s="92">
        <f>WORKDAY(HN1,1)</f>
        <v>46232</v>
      </c>
      <c r="HP1" s="92">
        <f>WORKDAY(HO1,1)</f>
        <v>46233</v>
      </c>
      <c r="HQ1" s="92">
        <f>WORKDAY(HP1,1)</f>
        <v>46234</v>
      </c>
      <c r="HR1" s="92">
        <f>WORKDAY(HQ1,1)</f>
        <v>46237</v>
      </c>
      <c r="HS1" s="92">
        <f>WORKDAY(HR1,1)</f>
        <v>46238</v>
      </c>
      <c r="HT1" s="92">
        <f>WORKDAY(HS1,1)</f>
        <v>46239</v>
      </c>
      <c r="HU1" s="92">
        <f>WORKDAY(HT1,1)</f>
        <v>46240</v>
      </c>
      <c r="HV1" s="92">
        <f>WORKDAY(HU1,1)</f>
        <v>46241</v>
      </c>
      <c r="HW1" s="92">
        <f>WORKDAY(HV1,1)</f>
        <v>46244</v>
      </c>
      <c r="HX1" s="92">
        <f>WORKDAY(HW1,1)</f>
        <v>46245</v>
      </c>
      <c r="HY1" s="92">
        <f>WORKDAY(HX1,1)</f>
        <v>46246</v>
      </c>
      <c r="HZ1" s="92">
        <f>WORKDAY(HY1,1)</f>
        <v>46247</v>
      </c>
      <c r="IA1" s="92">
        <f>WORKDAY(HZ1,1)</f>
        <v>46248</v>
      </c>
      <c r="IB1" s="92">
        <f>WORKDAY(IA1,1)</f>
        <v>46251</v>
      </c>
      <c r="IC1" s="92">
        <f>WORKDAY(IB1,1)</f>
        <v>46252</v>
      </c>
      <c r="ID1" s="92">
        <f>WORKDAY(IC1,1)</f>
        <v>46253</v>
      </c>
      <c r="IE1" s="92">
        <f>WORKDAY(ID1,1)</f>
        <v>46254</v>
      </c>
      <c r="IF1" s="92">
        <f>WORKDAY(IE1,1)</f>
        <v>46255</v>
      </c>
      <c r="IG1" s="92">
        <f>WORKDAY(IF1,1)</f>
        <v>46258</v>
      </c>
      <c r="IH1" s="92">
        <f>WORKDAY(IG1,1)</f>
        <v>46259</v>
      </c>
      <c r="II1" s="92">
        <f>WORKDAY(IH1,1)</f>
        <v>46260</v>
      </c>
      <c r="IJ1" s="92">
        <f>WORKDAY(II1,1)</f>
        <v>46261</v>
      </c>
      <c r="IK1" s="92">
        <f>WORKDAY(IJ1,1)</f>
        <v>46262</v>
      </c>
      <c r="IL1" s="92">
        <f>WORKDAY(IK1,1)</f>
        <v>46265</v>
      </c>
      <c r="IM1" s="92">
        <f>WORKDAY(IL1,1)</f>
        <v>46266</v>
      </c>
      <c r="IN1" s="92">
        <f>WORKDAY(IM1,1)</f>
        <v>46267</v>
      </c>
      <c r="IO1" s="92">
        <f>WORKDAY(IN1,1)</f>
        <v>46268</v>
      </c>
      <c r="IP1" s="92">
        <f>WORKDAY(IO1,1)</f>
        <v>46269</v>
      </c>
      <c r="IQ1" s="92">
        <f>WORKDAY(IP1,1)</f>
        <v>46272</v>
      </c>
      <c r="IR1" s="92">
        <f>WORKDAY(IQ1,1)</f>
        <v>46273</v>
      </c>
      <c r="IS1" s="92">
        <f>WORKDAY(IR1,1)</f>
        <v>46274</v>
      </c>
      <c r="IT1" s="92">
        <f>WORKDAY(IS1,1)</f>
        <v>46275</v>
      </c>
      <c r="IU1" s="92">
        <f>WORKDAY(IT1,1)</f>
        <v>46276</v>
      </c>
      <c r="IV1" s="92">
        <f>WORKDAY(IU1,1)</f>
        <v>46279</v>
      </c>
      <c r="IW1" s="92">
        <f>WORKDAY(IV1,1)</f>
        <v>46280</v>
      </c>
      <c r="IX1" s="92">
        <f>WORKDAY(IW1,1)</f>
        <v>46281</v>
      </c>
      <c r="IY1" s="92">
        <f>WORKDAY(IX1,1)</f>
        <v>46282</v>
      </c>
      <c r="IZ1" s="92">
        <f>WORKDAY(IY1,1)</f>
        <v>46283</v>
      </c>
      <c r="JA1" s="92">
        <f>WORKDAY(IZ1,1)</f>
        <v>46286</v>
      </c>
      <c r="JB1" s="92">
        <f>WORKDAY(JA1,1)</f>
        <v>46287</v>
      </c>
      <c r="JC1" s="92">
        <f>WORKDAY(JB1,1)</f>
        <v>46288</v>
      </c>
      <c r="JD1" s="92">
        <f>WORKDAY(JC1,1)</f>
        <v>46289</v>
      </c>
      <c r="JE1" s="92">
        <f>WORKDAY(JD1,1)</f>
        <v>46290</v>
      </c>
      <c r="JF1" s="92">
        <f>WORKDAY(JE1,1)</f>
        <v>46293</v>
      </c>
      <c r="JG1" s="92">
        <f>WORKDAY(JF1,1)</f>
        <v>46294</v>
      </c>
      <c r="JH1" s="92">
        <f>WORKDAY(JG1,1)</f>
        <v>46295</v>
      </c>
      <c r="JI1" s="92">
        <f>WORKDAY(JH1,1)</f>
        <v>46296</v>
      </c>
      <c r="JJ1" s="92">
        <f>WORKDAY(JI1,1)</f>
        <v>46297</v>
      </c>
      <c r="JK1" s="92">
        <f>WORKDAY(JJ1,1)</f>
        <v>46300</v>
      </c>
      <c r="JL1" s="92">
        <f>WORKDAY(JK1,1)</f>
        <v>46301</v>
      </c>
      <c r="JM1" s="92">
        <f>WORKDAY(JL1,1)</f>
        <v>46302</v>
      </c>
      <c r="JN1" s="92">
        <f>WORKDAY(JM1,1)</f>
        <v>46303</v>
      </c>
      <c r="JO1" s="92">
        <f>WORKDAY(JN1,1)</f>
        <v>46304</v>
      </c>
      <c r="JP1" s="92">
        <f>WORKDAY(JO1,1)</f>
        <v>46307</v>
      </c>
      <c r="JQ1" s="92">
        <f t="shared" ref="JQ1:JS1" si="4">WORKDAY(JP1,1)</f>
        <v>46308</v>
      </c>
      <c r="JR1" s="92">
        <f t="shared" si="4"/>
        <v>46309</v>
      </c>
      <c r="JS1" s="92">
        <f t="shared" si="4"/>
        <v>46310</v>
      </c>
      <c r="JT1" s="92">
        <f>WORKDAY(JS1,1)</f>
        <v>46311</v>
      </c>
      <c r="JU1" s="92">
        <f>WORKDAY(JT1,1)</f>
        <v>46314</v>
      </c>
      <c r="JV1" s="92">
        <f>WORKDAY(JU1,1)</f>
        <v>46315</v>
      </c>
      <c r="JW1" s="92">
        <f>WORKDAY(JV1,1)</f>
        <v>46316</v>
      </c>
      <c r="JX1" s="92">
        <f>WORKDAY(JW1,1)</f>
        <v>46317</v>
      </c>
      <c r="JY1" s="92">
        <f>WORKDAY(JX1,1)</f>
        <v>46318</v>
      </c>
      <c r="JZ1" s="92">
        <f>WORKDAY(JY1,1)</f>
        <v>46321</v>
      </c>
      <c r="KA1" s="92">
        <f>WORKDAY(JZ1,1)</f>
        <v>46322</v>
      </c>
      <c r="KB1" s="92">
        <f>WORKDAY(KA1,1)</f>
        <v>46323</v>
      </c>
      <c r="KC1" s="92">
        <f>WORKDAY(KB1,1)</f>
        <v>46324</v>
      </c>
      <c r="KD1" s="92">
        <f>WORKDAY(KC1,1)</f>
        <v>46325</v>
      </c>
      <c r="KE1" s="92">
        <f>WORKDAY(KD1,1)</f>
        <v>46328</v>
      </c>
      <c r="KF1" s="92">
        <f>WORKDAY(KE1,1)</f>
        <v>46329</v>
      </c>
      <c r="KG1" s="92">
        <f>WORKDAY(KF1,1)</f>
        <v>46330</v>
      </c>
      <c r="KH1" s="92">
        <f>WORKDAY(KG1,1)</f>
        <v>46331</v>
      </c>
      <c r="KI1" s="92">
        <f>WORKDAY(KH1,1)</f>
        <v>46332</v>
      </c>
      <c r="KJ1" s="92">
        <f>WORKDAY(KI1,1)</f>
        <v>46335</v>
      </c>
      <c r="KK1" s="92">
        <f>WORKDAY(KJ1,1)</f>
        <v>46336</v>
      </c>
      <c r="KL1" s="92">
        <f>WORKDAY(KK1,1)</f>
        <v>46337</v>
      </c>
      <c r="KM1" s="92">
        <f>WORKDAY(KL1,1)</f>
        <v>46338</v>
      </c>
      <c r="KN1" s="92">
        <f>WORKDAY(KM1,1)</f>
        <v>46339</v>
      </c>
      <c r="KO1" s="92">
        <f>WORKDAY(KN1,1)</f>
        <v>46342</v>
      </c>
      <c r="KP1" s="92">
        <f>WORKDAY(KO1,1)</f>
        <v>46343</v>
      </c>
      <c r="KQ1" s="92">
        <f>WORKDAY(KP1,1)</f>
        <v>46344</v>
      </c>
      <c r="KR1" s="92">
        <f>WORKDAY(KQ1,1)</f>
        <v>46345</v>
      </c>
      <c r="KS1" s="92">
        <f>WORKDAY(KR1,1)</f>
        <v>46346</v>
      </c>
      <c r="KT1" s="92">
        <f>WORKDAY(KS1,1)</f>
        <v>46349</v>
      </c>
      <c r="KU1" s="92">
        <f>WORKDAY(KT1,1)</f>
        <v>46350</v>
      </c>
      <c r="KV1" s="92">
        <f>WORKDAY(KU1,1)</f>
        <v>46351</v>
      </c>
      <c r="KW1" s="92">
        <f>WORKDAY(KV1,1)</f>
        <v>46352</v>
      </c>
      <c r="KX1" s="92">
        <f>WORKDAY(KW1,1)</f>
        <v>46353</v>
      </c>
      <c r="KY1" s="92">
        <f>WORKDAY(KX1,1)</f>
        <v>46356</v>
      </c>
      <c r="KZ1" s="92">
        <f>WORKDAY(KY1,1)</f>
        <v>46357</v>
      </c>
      <c r="LA1" s="92">
        <f>WORKDAY(KZ1,1)</f>
        <v>46358</v>
      </c>
      <c r="LB1" s="92">
        <f>WORKDAY(LA1,1)</f>
        <v>46359</v>
      </c>
      <c r="LC1" s="137"/>
      <c r="LD1" s="137"/>
      <c r="LE1" s="137"/>
      <c r="LF1" s="137"/>
      <c r="LG1" s="137"/>
      <c r="LH1" s="137"/>
      <c r="LI1" s="137"/>
      <c r="LJ1" s="137"/>
      <c r="LK1" s="137"/>
      <c r="LL1" s="137"/>
      <c r="LM1" s="137"/>
      <c r="LN1" s="137"/>
      <c r="LO1" s="137"/>
      <c r="LP1" s="137"/>
      <c r="LQ1" s="137"/>
      <c r="LR1" s="137"/>
      <c r="LS1" s="137"/>
      <c r="LT1" s="137"/>
      <c r="LU1" s="137"/>
    </row>
    <row r="2" spans="1:333" ht="15.75">
      <c r="A2" s="136"/>
      <c r="B2" s="1">
        <v>45877</v>
      </c>
      <c r="C2" s="1">
        <f>WORKDAY(B2,5)</f>
        <v>45884</v>
      </c>
      <c r="D2" s="1">
        <f t="shared" si="0"/>
        <v>45891</v>
      </c>
      <c r="E2" s="1">
        <f t="shared" si="0"/>
        <v>45898</v>
      </c>
      <c r="F2" s="1">
        <f t="shared" si="0"/>
        <v>45905</v>
      </c>
      <c r="G2" s="1">
        <f t="shared" ref="G2:J2" si="5">WORKDAY(G1,4)</f>
        <v>45912</v>
      </c>
      <c r="H2" s="1">
        <f t="shared" si="5"/>
        <v>45919</v>
      </c>
      <c r="I2" s="1">
        <f t="shared" si="5"/>
        <v>45926</v>
      </c>
      <c r="J2" s="37">
        <f t="shared" si="5"/>
        <v>45933</v>
      </c>
      <c r="K2" s="37" t="s">
        <v>50</v>
      </c>
      <c r="L2" s="37" t="s">
        <v>51</v>
      </c>
      <c r="M2" s="37" t="s">
        <v>52</v>
      </c>
      <c r="N2" s="37" t="s">
        <v>53</v>
      </c>
      <c r="O2" s="37" t="s">
        <v>54</v>
      </c>
      <c r="P2" s="37" t="s">
        <v>50</v>
      </c>
      <c r="Q2" s="37" t="s">
        <v>51</v>
      </c>
      <c r="R2" s="37" t="s">
        <v>52</v>
      </c>
      <c r="S2" s="37" t="s">
        <v>53</v>
      </c>
      <c r="T2" s="37" t="s">
        <v>54</v>
      </c>
      <c r="U2" s="37" t="s">
        <v>50</v>
      </c>
      <c r="V2" s="37" t="s">
        <v>51</v>
      </c>
      <c r="W2" s="37" t="s">
        <v>52</v>
      </c>
      <c r="X2" s="37" t="s">
        <v>53</v>
      </c>
      <c r="Y2" s="37" t="s">
        <v>54</v>
      </c>
      <c r="Z2" s="37" t="s">
        <v>50</v>
      </c>
      <c r="AA2" s="37" t="s">
        <v>51</v>
      </c>
      <c r="AB2" s="37" t="s">
        <v>52</v>
      </c>
      <c r="AC2" s="37" t="s">
        <v>53</v>
      </c>
      <c r="AD2" s="37" t="s">
        <v>54</v>
      </c>
      <c r="AE2" s="37" t="s">
        <v>50</v>
      </c>
      <c r="AF2" s="37" t="s">
        <v>51</v>
      </c>
      <c r="AG2" s="37" t="s">
        <v>52</v>
      </c>
      <c r="AH2" s="37" t="s">
        <v>53</v>
      </c>
      <c r="AI2" s="37" t="s">
        <v>54</v>
      </c>
      <c r="AJ2" s="37" t="s">
        <v>50</v>
      </c>
      <c r="AK2" s="37" t="s">
        <v>51</v>
      </c>
      <c r="AL2" s="37" t="s">
        <v>52</v>
      </c>
      <c r="AM2" s="37" t="s">
        <v>53</v>
      </c>
      <c r="AN2" s="37" t="s">
        <v>54</v>
      </c>
      <c r="AO2" s="37" t="s">
        <v>50</v>
      </c>
      <c r="AP2" s="37" t="s">
        <v>51</v>
      </c>
      <c r="AQ2" s="37" t="s">
        <v>52</v>
      </c>
      <c r="AR2" s="37" t="s">
        <v>53</v>
      </c>
      <c r="AS2" s="37" t="s">
        <v>54</v>
      </c>
      <c r="AT2" s="37" t="s">
        <v>50</v>
      </c>
      <c r="AU2" s="37" t="s">
        <v>51</v>
      </c>
      <c r="AV2" s="37" t="s">
        <v>52</v>
      </c>
      <c r="AW2" s="37" t="s">
        <v>53</v>
      </c>
      <c r="AX2" s="37" t="s">
        <v>54</v>
      </c>
      <c r="AY2" s="206" t="s">
        <v>50</v>
      </c>
      <c r="AZ2" s="166" t="s">
        <v>51</v>
      </c>
      <c r="BA2" s="166" t="s">
        <v>52</v>
      </c>
      <c r="BB2" s="166" t="s">
        <v>53</v>
      </c>
      <c r="BC2" s="166" t="s">
        <v>54</v>
      </c>
      <c r="BD2" s="166" t="s">
        <v>50</v>
      </c>
      <c r="BE2" s="166" t="s">
        <v>51</v>
      </c>
      <c r="BF2" s="166" t="s">
        <v>52</v>
      </c>
      <c r="BG2" s="166" t="s">
        <v>53</v>
      </c>
      <c r="BH2" s="166" t="s">
        <v>54</v>
      </c>
      <c r="BI2" s="166" t="s">
        <v>50</v>
      </c>
      <c r="BJ2" s="166" t="s">
        <v>51</v>
      </c>
      <c r="BK2" s="166" t="s">
        <v>52</v>
      </c>
      <c r="BL2" s="166" t="s">
        <v>53</v>
      </c>
      <c r="BM2" s="166" t="s">
        <v>54</v>
      </c>
      <c r="BN2" s="166" t="s">
        <v>50</v>
      </c>
      <c r="BO2" s="166" t="s">
        <v>51</v>
      </c>
      <c r="BP2" s="166" t="s">
        <v>52</v>
      </c>
      <c r="BQ2" s="166" t="s">
        <v>53</v>
      </c>
      <c r="BR2" s="166" t="s">
        <v>54</v>
      </c>
      <c r="BS2" s="166" t="s">
        <v>50</v>
      </c>
      <c r="BT2" s="166" t="s">
        <v>51</v>
      </c>
      <c r="BU2" s="166" t="s">
        <v>52</v>
      </c>
      <c r="BV2" s="166" t="s">
        <v>53</v>
      </c>
      <c r="BW2" s="166" t="s">
        <v>54</v>
      </c>
      <c r="BX2" s="166" t="s">
        <v>50</v>
      </c>
      <c r="BY2" s="166" t="s">
        <v>51</v>
      </c>
      <c r="BZ2" s="166" t="s">
        <v>52</v>
      </c>
      <c r="CA2" s="166" t="s">
        <v>53</v>
      </c>
      <c r="CB2" s="166" t="s">
        <v>54</v>
      </c>
      <c r="CC2" s="166" t="s">
        <v>50</v>
      </c>
      <c r="CD2" s="166" t="s">
        <v>51</v>
      </c>
      <c r="CE2" s="166" t="s">
        <v>52</v>
      </c>
      <c r="CF2" s="166" t="s">
        <v>53</v>
      </c>
      <c r="CG2" s="166" t="s">
        <v>54</v>
      </c>
      <c r="CH2" s="166" t="s">
        <v>50</v>
      </c>
      <c r="CI2" s="166" t="s">
        <v>51</v>
      </c>
      <c r="CJ2" s="166" t="s">
        <v>52</v>
      </c>
      <c r="CK2" s="166" t="s">
        <v>53</v>
      </c>
      <c r="CL2" s="166" t="s">
        <v>54</v>
      </c>
      <c r="CM2" s="166" t="s">
        <v>50</v>
      </c>
      <c r="CN2" s="166" t="s">
        <v>51</v>
      </c>
      <c r="CO2" s="166" t="s">
        <v>52</v>
      </c>
      <c r="CP2" s="166" t="s">
        <v>53</v>
      </c>
      <c r="CQ2" s="166" t="s">
        <v>54</v>
      </c>
      <c r="CR2" s="225" t="s">
        <v>50</v>
      </c>
      <c r="CS2" s="93" t="s">
        <v>51</v>
      </c>
      <c r="CT2" s="93" t="s">
        <v>52</v>
      </c>
      <c r="CU2" s="93" t="s">
        <v>53</v>
      </c>
      <c r="CV2" s="93" t="s">
        <v>54</v>
      </c>
      <c r="CW2" s="108" t="s">
        <v>50</v>
      </c>
      <c r="CX2" s="108" t="s">
        <v>51</v>
      </c>
      <c r="CY2" s="108" t="s">
        <v>52</v>
      </c>
      <c r="CZ2" s="108" t="s">
        <v>53</v>
      </c>
      <c r="DA2" s="108" t="s">
        <v>54</v>
      </c>
      <c r="DB2" s="108" t="s">
        <v>50</v>
      </c>
      <c r="DC2" s="108" t="s">
        <v>51</v>
      </c>
      <c r="DD2" s="108" t="s">
        <v>52</v>
      </c>
      <c r="DE2" s="108" t="s">
        <v>53</v>
      </c>
      <c r="DF2" s="108" t="s">
        <v>54</v>
      </c>
      <c r="DG2" s="93" t="s">
        <v>50</v>
      </c>
      <c r="DH2" s="93" t="s">
        <v>51</v>
      </c>
      <c r="DI2" s="93" t="s">
        <v>52</v>
      </c>
      <c r="DJ2" s="93" t="s">
        <v>53</v>
      </c>
      <c r="DK2" s="93" t="s">
        <v>54</v>
      </c>
      <c r="DL2" s="93" t="s">
        <v>50</v>
      </c>
      <c r="DM2" s="93" t="s">
        <v>51</v>
      </c>
      <c r="DN2" s="93" t="s">
        <v>52</v>
      </c>
      <c r="DO2" s="93" t="s">
        <v>53</v>
      </c>
      <c r="DP2" s="93" t="s">
        <v>54</v>
      </c>
      <c r="DQ2" s="93" t="s">
        <v>50</v>
      </c>
      <c r="DR2" s="93" t="s">
        <v>51</v>
      </c>
      <c r="DS2" s="93" t="s">
        <v>52</v>
      </c>
      <c r="DT2" s="93" t="s">
        <v>53</v>
      </c>
      <c r="DU2" s="93" t="s">
        <v>54</v>
      </c>
      <c r="DV2" s="93" t="s">
        <v>50</v>
      </c>
      <c r="DW2" s="93" t="s">
        <v>51</v>
      </c>
      <c r="DX2" s="93" t="s">
        <v>52</v>
      </c>
      <c r="DY2" s="93" t="s">
        <v>53</v>
      </c>
      <c r="DZ2" s="93" t="s">
        <v>54</v>
      </c>
      <c r="EA2" s="93" t="s">
        <v>50</v>
      </c>
      <c r="EB2" s="93" t="s">
        <v>51</v>
      </c>
      <c r="EC2" s="93" t="s">
        <v>52</v>
      </c>
      <c r="ED2" s="93" t="s">
        <v>53</v>
      </c>
      <c r="EE2" s="93" t="s">
        <v>54</v>
      </c>
      <c r="EF2" s="93" t="s">
        <v>50</v>
      </c>
      <c r="EG2" s="110" t="s">
        <v>51</v>
      </c>
      <c r="EH2" s="93" t="s">
        <v>52</v>
      </c>
      <c r="EI2" s="93" t="s">
        <v>53</v>
      </c>
      <c r="EJ2" s="110" t="s">
        <v>54</v>
      </c>
      <c r="EK2" s="93" t="s">
        <v>50</v>
      </c>
      <c r="EL2" s="93" t="s">
        <v>51</v>
      </c>
      <c r="EM2" s="93" t="s">
        <v>52</v>
      </c>
      <c r="EN2" s="93" t="s">
        <v>53</v>
      </c>
      <c r="EO2" s="93" t="s">
        <v>54</v>
      </c>
      <c r="EP2" s="93" t="s">
        <v>50</v>
      </c>
      <c r="EQ2" s="110" t="s">
        <v>51</v>
      </c>
      <c r="ER2" s="93" t="s">
        <v>52</v>
      </c>
      <c r="ES2" s="93" t="s">
        <v>53</v>
      </c>
      <c r="ET2" s="110" t="s">
        <v>54</v>
      </c>
      <c r="EU2" s="93" t="s">
        <v>50</v>
      </c>
      <c r="EV2" s="93" t="s">
        <v>51</v>
      </c>
      <c r="EW2" s="93" t="s">
        <v>52</v>
      </c>
      <c r="EX2" s="93" t="s">
        <v>53</v>
      </c>
      <c r="EY2" s="93" t="s">
        <v>54</v>
      </c>
      <c r="EZ2" s="93" t="s">
        <v>50</v>
      </c>
      <c r="FA2" s="110" t="s">
        <v>51</v>
      </c>
      <c r="FB2" s="93" t="s">
        <v>52</v>
      </c>
      <c r="FC2" s="110" t="s">
        <v>53</v>
      </c>
      <c r="FD2" s="93" t="s">
        <v>54</v>
      </c>
      <c r="FE2" s="251" t="s">
        <v>50</v>
      </c>
      <c r="FF2" s="93" t="s">
        <v>51</v>
      </c>
      <c r="FG2" s="93" t="s">
        <v>52</v>
      </c>
      <c r="FH2" s="93" t="s">
        <v>53</v>
      </c>
      <c r="FI2" s="93" t="s">
        <v>54</v>
      </c>
      <c r="FJ2" s="93" t="s">
        <v>50</v>
      </c>
      <c r="FK2" s="93" t="s">
        <v>51</v>
      </c>
      <c r="FL2" s="93" t="s">
        <v>52</v>
      </c>
      <c r="FM2" s="93" t="s">
        <v>53</v>
      </c>
      <c r="FN2" s="93" t="s">
        <v>54</v>
      </c>
      <c r="FO2" s="93" t="s">
        <v>50</v>
      </c>
      <c r="FP2" s="93" t="s">
        <v>51</v>
      </c>
      <c r="FQ2" s="93" t="s">
        <v>52</v>
      </c>
      <c r="FR2" s="93" t="s">
        <v>53</v>
      </c>
      <c r="FS2" s="93" t="s">
        <v>54</v>
      </c>
      <c r="FT2" s="93" t="s">
        <v>50</v>
      </c>
      <c r="FU2" s="93" t="s">
        <v>51</v>
      </c>
      <c r="FV2" s="93" t="s">
        <v>52</v>
      </c>
      <c r="FW2" s="93" t="s">
        <v>53</v>
      </c>
      <c r="FX2" s="93" t="s">
        <v>54</v>
      </c>
      <c r="FY2" s="93" t="s">
        <v>50</v>
      </c>
      <c r="FZ2" s="93" t="s">
        <v>51</v>
      </c>
      <c r="GA2" s="93" t="s">
        <v>52</v>
      </c>
      <c r="GB2" s="93" t="s">
        <v>53</v>
      </c>
      <c r="GC2" s="93" t="s">
        <v>54</v>
      </c>
      <c r="GD2" s="93" t="s">
        <v>50</v>
      </c>
      <c r="GE2" s="93" t="s">
        <v>51</v>
      </c>
      <c r="GF2" s="93" t="s">
        <v>52</v>
      </c>
      <c r="GG2" s="93" t="s">
        <v>53</v>
      </c>
      <c r="GH2" s="93" t="s">
        <v>54</v>
      </c>
      <c r="GI2" s="93" t="s">
        <v>50</v>
      </c>
      <c r="GJ2" s="93" t="s">
        <v>51</v>
      </c>
      <c r="GK2" s="93" t="s">
        <v>52</v>
      </c>
      <c r="GL2" s="93" t="s">
        <v>53</v>
      </c>
      <c r="GM2" s="93" t="s">
        <v>54</v>
      </c>
      <c r="GN2" s="93" t="s">
        <v>50</v>
      </c>
      <c r="GO2" s="93" t="s">
        <v>51</v>
      </c>
      <c r="GP2" s="93" t="s">
        <v>52</v>
      </c>
      <c r="GQ2" s="93" t="s">
        <v>53</v>
      </c>
      <c r="GR2" s="93" t="s">
        <v>54</v>
      </c>
      <c r="GS2" s="93" t="s">
        <v>50</v>
      </c>
      <c r="GT2" s="93" t="s">
        <v>51</v>
      </c>
      <c r="GU2" s="93" t="s">
        <v>52</v>
      </c>
      <c r="GV2" s="93" t="s">
        <v>53</v>
      </c>
      <c r="GW2" s="93" t="s">
        <v>54</v>
      </c>
      <c r="GX2" s="93" t="s">
        <v>50</v>
      </c>
      <c r="GY2" s="93" t="s">
        <v>51</v>
      </c>
      <c r="GZ2" s="93" t="s">
        <v>52</v>
      </c>
      <c r="HA2" s="93" t="s">
        <v>53</v>
      </c>
      <c r="HB2" s="93" t="s">
        <v>54</v>
      </c>
      <c r="HC2" s="93" t="s">
        <v>50</v>
      </c>
      <c r="HD2" s="93" t="s">
        <v>51</v>
      </c>
      <c r="HE2" s="93" t="s">
        <v>52</v>
      </c>
      <c r="HF2" s="93" t="s">
        <v>53</v>
      </c>
      <c r="HG2" s="93" t="s">
        <v>54</v>
      </c>
      <c r="HH2" s="93" t="s">
        <v>50</v>
      </c>
      <c r="HI2" s="93" t="s">
        <v>51</v>
      </c>
      <c r="HJ2" s="93" t="s">
        <v>52</v>
      </c>
      <c r="HK2" s="93" t="s">
        <v>53</v>
      </c>
      <c r="HL2" s="93" t="s">
        <v>54</v>
      </c>
      <c r="HM2" s="93" t="s">
        <v>50</v>
      </c>
      <c r="HN2" s="93" t="s">
        <v>51</v>
      </c>
      <c r="HO2" s="93" t="s">
        <v>52</v>
      </c>
      <c r="HP2" s="93" t="s">
        <v>53</v>
      </c>
      <c r="HQ2" s="93" t="s">
        <v>54</v>
      </c>
      <c r="HR2" s="93" t="s">
        <v>50</v>
      </c>
      <c r="HS2" s="93" t="s">
        <v>51</v>
      </c>
      <c r="HT2" s="93" t="s">
        <v>52</v>
      </c>
      <c r="HU2" s="93" t="s">
        <v>53</v>
      </c>
      <c r="HV2" s="93" t="s">
        <v>54</v>
      </c>
      <c r="HW2" s="93" t="s">
        <v>50</v>
      </c>
      <c r="HX2" s="93" t="s">
        <v>51</v>
      </c>
      <c r="HY2" s="93" t="s">
        <v>52</v>
      </c>
      <c r="HZ2" s="93" t="s">
        <v>53</v>
      </c>
      <c r="IA2" s="93" t="s">
        <v>54</v>
      </c>
      <c r="IB2" s="93" t="s">
        <v>50</v>
      </c>
      <c r="IC2" s="93" t="s">
        <v>51</v>
      </c>
      <c r="ID2" s="93" t="s">
        <v>52</v>
      </c>
      <c r="IE2" s="93" t="s">
        <v>53</v>
      </c>
      <c r="IF2" s="93" t="s">
        <v>54</v>
      </c>
      <c r="IG2" s="93" t="s">
        <v>50</v>
      </c>
      <c r="IH2" s="93" t="s">
        <v>51</v>
      </c>
      <c r="II2" s="93" t="s">
        <v>52</v>
      </c>
      <c r="IJ2" s="93" t="s">
        <v>53</v>
      </c>
      <c r="IK2" s="93" t="s">
        <v>54</v>
      </c>
      <c r="IL2" s="93" t="s">
        <v>50</v>
      </c>
      <c r="IM2" s="93" t="s">
        <v>51</v>
      </c>
      <c r="IN2" s="93" t="s">
        <v>52</v>
      </c>
      <c r="IO2" s="93" t="s">
        <v>53</v>
      </c>
      <c r="IP2" s="93" t="s">
        <v>54</v>
      </c>
      <c r="IQ2" s="93" t="s">
        <v>50</v>
      </c>
      <c r="IR2" s="93" t="s">
        <v>51</v>
      </c>
      <c r="IS2" s="93" t="s">
        <v>52</v>
      </c>
      <c r="IT2" s="93" t="s">
        <v>53</v>
      </c>
      <c r="IU2" s="93" t="s">
        <v>54</v>
      </c>
      <c r="IV2" s="93" t="s">
        <v>50</v>
      </c>
      <c r="IW2" s="93" t="s">
        <v>51</v>
      </c>
      <c r="IX2" s="93" t="s">
        <v>52</v>
      </c>
      <c r="IY2" s="93" t="s">
        <v>53</v>
      </c>
      <c r="IZ2" s="93" t="s">
        <v>54</v>
      </c>
      <c r="JA2" s="93" t="s">
        <v>50</v>
      </c>
      <c r="JB2" s="93" t="s">
        <v>51</v>
      </c>
      <c r="JC2" s="93" t="s">
        <v>52</v>
      </c>
      <c r="JD2" s="93" t="s">
        <v>53</v>
      </c>
      <c r="JE2" s="93" t="s">
        <v>54</v>
      </c>
      <c r="JF2" s="93" t="s">
        <v>50</v>
      </c>
      <c r="JG2" s="93" t="s">
        <v>51</v>
      </c>
      <c r="JH2" s="93" t="s">
        <v>52</v>
      </c>
      <c r="JI2" s="93" t="s">
        <v>53</v>
      </c>
      <c r="JJ2" s="93" t="s">
        <v>54</v>
      </c>
      <c r="JK2" s="93" t="s">
        <v>50</v>
      </c>
      <c r="JL2" s="93" t="s">
        <v>51</v>
      </c>
      <c r="JM2" s="93" t="s">
        <v>52</v>
      </c>
      <c r="JN2" s="93" t="s">
        <v>53</v>
      </c>
      <c r="JO2" s="93" t="s">
        <v>54</v>
      </c>
      <c r="JP2" s="93" t="s">
        <v>50</v>
      </c>
      <c r="JQ2" s="93" t="s">
        <v>51</v>
      </c>
      <c r="JR2" s="93" t="s">
        <v>52</v>
      </c>
      <c r="JS2" s="93" t="s">
        <v>53</v>
      </c>
      <c r="JT2" s="93" t="s">
        <v>54</v>
      </c>
      <c r="JU2" s="93" t="s">
        <v>50</v>
      </c>
      <c r="JV2" s="93" t="s">
        <v>51</v>
      </c>
      <c r="JW2" s="93" t="s">
        <v>52</v>
      </c>
      <c r="JX2" s="93" t="s">
        <v>53</v>
      </c>
      <c r="JY2" s="93" t="s">
        <v>54</v>
      </c>
      <c r="JZ2" s="93" t="s">
        <v>50</v>
      </c>
      <c r="KA2" s="93" t="s">
        <v>51</v>
      </c>
      <c r="KB2" s="93" t="s">
        <v>52</v>
      </c>
      <c r="KC2" s="93" t="s">
        <v>53</v>
      </c>
      <c r="KD2" s="93" t="s">
        <v>54</v>
      </c>
      <c r="KE2" s="93" t="s">
        <v>50</v>
      </c>
      <c r="KF2" s="93" t="s">
        <v>51</v>
      </c>
      <c r="KG2" s="93" t="s">
        <v>52</v>
      </c>
      <c r="KH2" s="93" t="s">
        <v>53</v>
      </c>
      <c r="KI2" s="93" t="s">
        <v>54</v>
      </c>
      <c r="KJ2" s="93" t="s">
        <v>50</v>
      </c>
      <c r="KK2" s="93" t="s">
        <v>51</v>
      </c>
      <c r="KL2" s="93" t="s">
        <v>52</v>
      </c>
      <c r="KM2" s="93" t="s">
        <v>53</v>
      </c>
      <c r="KN2" s="93" t="s">
        <v>54</v>
      </c>
      <c r="KO2" s="93" t="s">
        <v>50</v>
      </c>
      <c r="KP2" s="93" t="s">
        <v>51</v>
      </c>
      <c r="KQ2" s="93" t="s">
        <v>52</v>
      </c>
      <c r="KR2" s="93" t="s">
        <v>53</v>
      </c>
      <c r="KS2" s="93" t="s">
        <v>54</v>
      </c>
      <c r="KT2" s="93" t="s">
        <v>50</v>
      </c>
      <c r="KU2" s="93" t="s">
        <v>51</v>
      </c>
      <c r="KV2" s="93" t="s">
        <v>52</v>
      </c>
      <c r="KW2" s="93" t="s">
        <v>53</v>
      </c>
      <c r="KX2" s="93" t="s">
        <v>54</v>
      </c>
      <c r="KY2" s="93" t="s">
        <v>50</v>
      </c>
      <c r="KZ2" s="93" t="s">
        <v>51</v>
      </c>
      <c r="LA2" s="93" t="s">
        <v>52</v>
      </c>
      <c r="LB2" s="93" t="s">
        <v>53</v>
      </c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</row>
    <row r="3" spans="1:333" ht="102" hidden="1" customHeight="1">
      <c r="A3" s="41" t="s">
        <v>1738</v>
      </c>
      <c r="B3" s="27" t="s">
        <v>1739</v>
      </c>
      <c r="C3" s="27" t="s">
        <v>1740</v>
      </c>
      <c r="D3" s="28" t="s">
        <v>1741</v>
      </c>
      <c r="E3" s="27" t="s">
        <v>1742</v>
      </c>
      <c r="F3" s="27" t="s">
        <v>1743</v>
      </c>
      <c r="G3" s="27" t="s">
        <v>1744</v>
      </c>
      <c r="H3" s="27" t="s">
        <v>1745</v>
      </c>
      <c r="I3" s="204" t="s">
        <v>1746</v>
      </c>
      <c r="J3" s="168" t="s">
        <v>1747</v>
      </c>
      <c r="K3" s="141" t="s">
        <v>1748</v>
      </c>
      <c r="L3" s="141" t="s">
        <v>1748</v>
      </c>
      <c r="M3" s="141" t="s">
        <v>1748</v>
      </c>
      <c r="N3" s="141" t="s">
        <v>1748</v>
      </c>
      <c r="O3" s="141" t="s">
        <v>1748</v>
      </c>
      <c r="P3" s="169" t="s">
        <v>1749</v>
      </c>
      <c r="Q3" s="141" t="s">
        <v>1750</v>
      </c>
      <c r="R3" s="141" t="s">
        <v>1750</v>
      </c>
      <c r="S3" s="141" t="s">
        <v>1751</v>
      </c>
      <c r="T3" s="141" t="s">
        <v>1752</v>
      </c>
      <c r="U3" s="141" t="s">
        <v>1753</v>
      </c>
      <c r="V3" s="141" t="s">
        <v>1753</v>
      </c>
      <c r="W3" s="141" t="s">
        <v>1754</v>
      </c>
      <c r="X3" s="141" t="s">
        <v>1755</v>
      </c>
      <c r="Y3" s="141" t="s">
        <v>1756</v>
      </c>
      <c r="Z3" s="141" t="s">
        <v>1757</v>
      </c>
      <c r="AA3" s="141" t="s">
        <v>1758</v>
      </c>
      <c r="AB3" s="141" t="s">
        <v>1758</v>
      </c>
      <c r="AC3" s="141" t="s">
        <v>1759</v>
      </c>
      <c r="AD3" s="169" t="s">
        <v>1749</v>
      </c>
      <c r="AE3" s="169" t="s">
        <v>1749</v>
      </c>
      <c r="AF3" s="141" t="s">
        <v>1760</v>
      </c>
      <c r="AG3" s="141" t="s">
        <v>1761</v>
      </c>
      <c r="AH3" s="141" t="s">
        <v>1761</v>
      </c>
      <c r="AI3" s="141" t="s">
        <v>1762</v>
      </c>
      <c r="AJ3" s="170" t="s">
        <v>1763</v>
      </c>
      <c r="AK3" s="170" t="s">
        <v>1763</v>
      </c>
      <c r="AL3" s="170" t="s">
        <v>1763</v>
      </c>
      <c r="AM3" s="170" t="s">
        <v>1763</v>
      </c>
      <c r="AN3" s="170" t="s">
        <v>1763</v>
      </c>
      <c r="AO3" s="171" t="s">
        <v>1764</v>
      </c>
      <c r="AP3" s="172" t="s">
        <v>1765</v>
      </c>
      <c r="AQ3" s="172" t="s">
        <v>1765</v>
      </c>
      <c r="AR3" s="172" t="s">
        <v>1765</v>
      </c>
      <c r="AS3" s="172" t="s">
        <v>1765</v>
      </c>
      <c r="AT3" s="172" t="s">
        <v>1766</v>
      </c>
      <c r="AU3" s="173" t="s">
        <v>1767</v>
      </c>
      <c r="AV3" s="173" t="s">
        <v>1767</v>
      </c>
      <c r="AW3" s="174" t="s">
        <v>1768</v>
      </c>
      <c r="AX3" s="174" t="s">
        <v>1768</v>
      </c>
      <c r="AY3" s="175" t="s">
        <v>1769</v>
      </c>
      <c r="AZ3" s="176" t="s">
        <v>1770</v>
      </c>
      <c r="BA3" s="176" t="s">
        <v>1771</v>
      </c>
      <c r="BB3" s="176" t="s">
        <v>1771</v>
      </c>
      <c r="BC3" s="176" t="s">
        <v>1771</v>
      </c>
      <c r="BD3" s="177" t="s">
        <v>1772</v>
      </c>
      <c r="BE3" s="177" t="s">
        <v>1773</v>
      </c>
      <c r="BF3" s="177" t="s">
        <v>1773</v>
      </c>
      <c r="BG3" s="177" t="s">
        <v>1773</v>
      </c>
      <c r="BH3" s="177" t="s">
        <v>1773</v>
      </c>
      <c r="BI3" s="177" t="s">
        <v>1774</v>
      </c>
      <c r="BJ3" s="178" t="s">
        <v>49</v>
      </c>
      <c r="BK3" s="178" t="s">
        <v>49</v>
      </c>
      <c r="BL3" s="178" t="s">
        <v>49</v>
      </c>
      <c r="BM3" s="178" t="s">
        <v>49</v>
      </c>
      <c r="BN3" s="178" t="s">
        <v>18</v>
      </c>
      <c r="BO3" s="178" t="s">
        <v>1775</v>
      </c>
      <c r="BP3" s="178" t="s">
        <v>1775</v>
      </c>
      <c r="BQ3" s="178" t="s">
        <v>1776</v>
      </c>
      <c r="BR3" s="178" t="s">
        <v>1776</v>
      </c>
      <c r="BS3" s="178" t="s">
        <v>1776</v>
      </c>
      <c r="BT3" s="178" t="s">
        <v>1776</v>
      </c>
      <c r="BU3" s="178" t="s">
        <v>1776</v>
      </c>
      <c r="BV3" s="178" t="s">
        <v>1776</v>
      </c>
      <c r="BW3" s="178" t="s">
        <v>1775</v>
      </c>
      <c r="BX3" s="178" t="s">
        <v>1775</v>
      </c>
      <c r="BY3" s="178" t="s">
        <v>1775</v>
      </c>
      <c r="BZ3" s="178" t="s">
        <v>1772</v>
      </c>
      <c r="CA3" s="178" t="s">
        <v>1775</v>
      </c>
      <c r="CB3" s="178" t="s">
        <v>1772</v>
      </c>
      <c r="CC3" s="178" t="s">
        <v>102</v>
      </c>
      <c r="CD3" s="178" t="s">
        <v>102</v>
      </c>
      <c r="CE3" s="178" t="s">
        <v>1772</v>
      </c>
      <c r="CF3" s="178" t="s">
        <v>102</v>
      </c>
      <c r="CG3" s="178" t="s">
        <v>1772</v>
      </c>
      <c r="CH3" s="178" t="s">
        <v>1772</v>
      </c>
      <c r="CI3" s="178" t="s">
        <v>102</v>
      </c>
      <c r="CJ3" s="178" t="s">
        <v>102</v>
      </c>
      <c r="CK3" s="178" t="s">
        <v>102</v>
      </c>
      <c r="CL3" s="178" t="s">
        <v>1772</v>
      </c>
      <c r="CM3" s="178" t="s">
        <v>1777</v>
      </c>
      <c r="CN3" s="178" t="s">
        <v>1772</v>
      </c>
      <c r="CO3" s="178" t="s">
        <v>1777</v>
      </c>
      <c r="CP3" s="178" t="s">
        <v>1778</v>
      </c>
      <c r="CQ3" s="178" t="s">
        <v>1778</v>
      </c>
      <c r="CR3" s="178" t="s">
        <v>1779</v>
      </c>
      <c r="CS3" s="178" t="s">
        <v>1779</v>
      </c>
      <c r="CT3" s="178" t="s">
        <v>1779</v>
      </c>
      <c r="CU3" s="178" t="s">
        <v>1779</v>
      </c>
      <c r="CV3" s="178" t="s">
        <v>1779</v>
      </c>
      <c r="CW3" s="178" t="s">
        <v>1779</v>
      </c>
      <c r="CX3" s="178" t="s">
        <v>1779</v>
      </c>
      <c r="CY3" s="178" t="s">
        <v>1779</v>
      </c>
      <c r="CZ3" s="178" t="s">
        <v>1780</v>
      </c>
      <c r="DA3" s="178" t="s">
        <v>1780</v>
      </c>
      <c r="DB3" s="179" t="s">
        <v>1781</v>
      </c>
      <c r="DC3" s="178" t="s">
        <v>1772</v>
      </c>
      <c r="DD3" s="178" t="s">
        <v>1772</v>
      </c>
      <c r="DE3" s="178" t="s">
        <v>1772</v>
      </c>
      <c r="DF3" s="178" t="s">
        <v>1772</v>
      </c>
      <c r="DG3" s="178" t="s">
        <v>1780</v>
      </c>
      <c r="DH3" s="178" t="s">
        <v>1780</v>
      </c>
      <c r="DI3" s="178" t="s">
        <v>1780</v>
      </c>
      <c r="DJ3" s="178" t="s">
        <v>1782</v>
      </c>
      <c r="DK3" s="178" t="s">
        <v>1782</v>
      </c>
      <c r="DL3" s="178" t="s">
        <v>1782</v>
      </c>
      <c r="DM3" s="178" t="s">
        <v>1782</v>
      </c>
      <c r="DN3" s="178" t="s">
        <v>1782</v>
      </c>
      <c r="DO3" s="178" t="s">
        <v>1782</v>
      </c>
      <c r="DP3" s="178" t="s">
        <v>1782</v>
      </c>
      <c r="DQ3" s="178" t="s">
        <v>1782</v>
      </c>
      <c r="DR3" s="178" t="s">
        <v>1772</v>
      </c>
      <c r="DS3" s="178" t="s">
        <v>1772</v>
      </c>
      <c r="DT3" s="178" t="s">
        <v>1772</v>
      </c>
      <c r="DU3" s="178" t="s">
        <v>1772</v>
      </c>
      <c r="DV3" s="178" t="s">
        <v>1772</v>
      </c>
      <c r="DW3" s="178" t="s">
        <v>1772</v>
      </c>
      <c r="DX3" s="280" t="s">
        <v>868</v>
      </c>
      <c r="DY3" s="280" t="s">
        <v>868</v>
      </c>
      <c r="DZ3" s="178" t="s">
        <v>1783</v>
      </c>
      <c r="EA3" s="187" t="s">
        <v>1783</v>
      </c>
      <c r="EB3" s="187" t="s">
        <v>1783</v>
      </c>
      <c r="EC3" s="178" t="s">
        <v>1783</v>
      </c>
      <c r="ED3" s="178" t="s">
        <v>1783</v>
      </c>
      <c r="EE3" s="178" t="s">
        <v>1783</v>
      </c>
      <c r="EF3" s="178" t="s">
        <v>1783</v>
      </c>
      <c r="EG3" s="281" t="s">
        <v>1780</v>
      </c>
      <c r="EH3" s="281" t="s">
        <v>1780</v>
      </c>
      <c r="EI3" s="281" t="s">
        <v>1780</v>
      </c>
      <c r="EJ3" s="281" t="s">
        <v>1780</v>
      </c>
      <c r="EK3" s="178" t="s">
        <v>1784</v>
      </c>
      <c r="EL3" s="178" t="s">
        <v>1785</v>
      </c>
      <c r="EM3" s="187" t="s">
        <v>1786</v>
      </c>
      <c r="EN3" s="187" t="s">
        <v>1786</v>
      </c>
      <c r="EO3" s="187" t="s">
        <v>1786</v>
      </c>
      <c r="EP3" s="187" t="s">
        <v>1786</v>
      </c>
      <c r="EQ3" s="187" t="s">
        <v>1786</v>
      </c>
      <c r="ER3" s="187" t="s">
        <v>1786</v>
      </c>
      <c r="ES3" s="187" t="s">
        <v>1786</v>
      </c>
      <c r="ET3" s="187" t="s">
        <v>1786</v>
      </c>
      <c r="EU3" s="281" t="s">
        <v>1780</v>
      </c>
      <c r="EV3" s="281" t="s">
        <v>1780</v>
      </c>
      <c r="EW3" s="281" t="s">
        <v>1780</v>
      </c>
      <c r="EX3" s="281" t="s">
        <v>1780</v>
      </c>
      <c r="EY3" s="281" t="s">
        <v>1780</v>
      </c>
      <c r="EZ3" s="282" t="s">
        <v>1787</v>
      </c>
      <c r="FA3" s="36"/>
      <c r="FB3" s="36"/>
      <c r="FC3" s="36"/>
      <c r="FD3" s="36"/>
      <c r="FE3" s="252" t="s">
        <v>1788</v>
      </c>
      <c r="FF3" s="252" t="s">
        <v>1788</v>
      </c>
      <c r="FG3" s="252" t="s">
        <v>1788</v>
      </c>
      <c r="FH3" s="252" t="s">
        <v>1788</v>
      </c>
      <c r="FI3" s="252" t="s">
        <v>1788</v>
      </c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</row>
    <row r="4" spans="1:333" s="139" customFormat="1" ht="102" customHeight="1">
      <c r="A4" s="41" t="s">
        <v>1789</v>
      </c>
      <c r="B4" s="29" t="s">
        <v>1790</v>
      </c>
      <c r="C4" s="42" t="s">
        <v>1791</v>
      </c>
      <c r="D4" s="43" t="s">
        <v>1792</v>
      </c>
      <c r="E4" s="27" t="s">
        <v>1793</v>
      </c>
      <c r="F4" s="27" t="s">
        <v>1794</v>
      </c>
      <c r="G4" s="27" t="s">
        <v>1795</v>
      </c>
      <c r="H4" s="27" t="s">
        <v>1745</v>
      </c>
      <c r="I4" s="204" t="s">
        <v>1796</v>
      </c>
      <c r="J4" s="141" t="s">
        <v>1797</v>
      </c>
      <c r="K4" s="141" t="s">
        <v>1798</v>
      </c>
      <c r="L4" s="181" t="s">
        <v>1799</v>
      </c>
      <c r="M4" s="181" t="s">
        <v>1799</v>
      </c>
      <c r="N4" s="181" t="s">
        <v>1799</v>
      </c>
      <c r="O4" s="169" t="s">
        <v>1749</v>
      </c>
      <c r="P4" s="182" t="s">
        <v>1800</v>
      </c>
      <c r="Q4" s="182" t="s">
        <v>1801</v>
      </c>
      <c r="R4" s="169" t="s">
        <v>1749</v>
      </c>
      <c r="S4" s="169" t="s">
        <v>1749</v>
      </c>
      <c r="T4" s="169" t="s">
        <v>1749</v>
      </c>
      <c r="U4" s="169" t="s">
        <v>1749</v>
      </c>
      <c r="V4" s="169" t="s">
        <v>1749</v>
      </c>
      <c r="W4" s="169" t="s">
        <v>1749</v>
      </c>
      <c r="X4" s="169" t="s">
        <v>1749</v>
      </c>
      <c r="Y4" s="169" t="s">
        <v>1749</v>
      </c>
      <c r="Z4" s="177" t="s">
        <v>1802</v>
      </c>
      <c r="AA4" s="177" t="s">
        <v>1803</v>
      </c>
      <c r="AB4" s="177" t="s">
        <v>1804</v>
      </c>
      <c r="AC4" s="177" t="s">
        <v>1805</v>
      </c>
      <c r="AD4" s="183" t="s">
        <v>1749</v>
      </c>
      <c r="AE4" s="177" t="s">
        <v>1806</v>
      </c>
      <c r="AF4" s="177" t="s">
        <v>1807</v>
      </c>
      <c r="AG4" s="177" t="s">
        <v>1808</v>
      </c>
      <c r="AH4" s="177" t="s">
        <v>1809</v>
      </c>
      <c r="AI4" s="184" t="s">
        <v>1810</v>
      </c>
      <c r="AJ4" s="177" t="s">
        <v>1809</v>
      </c>
      <c r="AK4" s="177" t="s">
        <v>1809</v>
      </c>
      <c r="AL4" s="177" t="s">
        <v>1809</v>
      </c>
      <c r="AM4" s="177" t="s">
        <v>1811</v>
      </c>
      <c r="AN4" s="184" t="s">
        <v>1812</v>
      </c>
      <c r="AO4" s="172" t="s">
        <v>1813</v>
      </c>
      <c r="AP4" s="172" t="s">
        <v>1813</v>
      </c>
      <c r="AQ4" s="172" t="s">
        <v>1813</v>
      </c>
      <c r="AR4" s="172" t="s">
        <v>1814</v>
      </c>
      <c r="AS4" s="184" t="s">
        <v>1812</v>
      </c>
      <c r="AT4" s="185" t="s">
        <v>1815</v>
      </c>
      <c r="AU4" s="172" t="s">
        <v>1816</v>
      </c>
      <c r="AV4" s="172" t="s">
        <v>1816</v>
      </c>
      <c r="AW4" s="172" t="s">
        <v>1817</v>
      </c>
      <c r="AX4" s="184" t="s">
        <v>1812</v>
      </c>
      <c r="AY4" s="177" t="s">
        <v>1818</v>
      </c>
      <c r="AZ4" s="177" t="s">
        <v>1819</v>
      </c>
      <c r="BA4" s="177" t="s">
        <v>1820</v>
      </c>
      <c r="BB4" s="177" t="s">
        <v>1820</v>
      </c>
      <c r="BC4" s="184" t="s">
        <v>1812</v>
      </c>
      <c r="BD4" s="185" t="s">
        <v>1821</v>
      </c>
      <c r="BE4" s="172" t="s">
        <v>1822</v>
      </c>
      <c r="BF4" s="172" t="s">
        <v>1823</v>
      </c>
      <c r="BG4" s="172" t="s">
        <v>1824</v>
      </c>
      <c r="BH4" s="184" t="s">
        <v>1812</v>
      </c>
      <c r="BI4" s="172" t="s">
        <v>1824</v>
      </c>
      <c r="BJ4" s="172" t="s">
        <v>1825</v>
      </c>
      <c r="BK4" s="177" t="s">
        <v>1775</v>
      </c>
      <c r="BL4" s="177" t="s">
        <v>1775</v>
      </c>
      <c r="BM4" s="184" t="s">
        <v>1812</v>
      </c>
      <c r="BN4" s="183" t="s">
        <v>1826</v>
      </c>
      <c r="BO4" s="177" t="s">
        <v>1775</v>
      </c>
      <c r="BP4" s="177" t="s">
        <v>1775</v>
      </c>
      <c r="BQ4" s="186" t="s">
        <v>1827</v>
      </c>
      <c r="BR4" s="186" t="s">
        <v>1827</v>
      </c>
      <c r="BS4" s="186" t="s">
        <v>1827</v>
      </c>
      <c r="BT4" s="186" t="s">
        <v>1827</v>
      </c>
      <c r="BU4" s="186" t="s">
        <v>1827</v>
      </c>
      <c r="BV4" s="186" t="s">
        <v>1827</v>
      </c>
      <c r="BW4" s="184" t="s">
        <v>1812</v>
      </c>
      <c r="BX4" s="178" t="s">
        <v>1775</v>
      </c>
      <c r="BY4" s="178" t="s">
        <v>1775</v>
      </c>
      <c r="BZ4" s="178" t="s">
        <v>1775</v>
      </c>
      <c r="CA4" s="178" t="s">
        <v>1775</v>
      </c>
      <c r="CB4" s="184" t="s">
        <v>1812</v>
      </c>
      <c r="CC4" s="178" t="s">
        <v>1775</v>
      </c>
      <c r="CD4" s="178" t="s">
        <v>1775</v>
      </c>
      <c r="CE4" s="178" t="s">
        <v>1775</v>
      </c>
      <c r="CF4" s="178" t="s">
        <v>1775</v>
      </c>
      <c r="CG4" s="184" t="s">
        <v>1812</v>
      </c>
      <c r="CH4" s="187" t="s">
        <v>1775</v>
      </c>
      <c r="CI4" s="187" t="s">
        <v>1828</v>
      </c>
      <c r="CJ4" s="187" t="s">
        <v>1828</v>
      </c>
      <c r="CK4" s="187" t="s">
        <v>1828</v>
      </c>
      <c r="CL4" s="184" t="s">
        <v>1812</v>
      </c>
      <c r="CM4" s="187" t="s">
        <v>1829</v>
      </c>
      <c r="CN4" s="187" t="s">
        <v>1829</v>
      </c>
      <c r="CO4" s="187" t="s">
        <v>1829</v>
      </c>
      <c r="CP4" s="178" t="s">
        <v>1830</v>
      </c>
      <c r="CQ4" s="184" t="s">
        <v>1812</v>
      </c>
      <c r="CR4" s="178" t="s">
        <v>1830</v>
      </c>
      <c r="CS4" s="187" t="s">
        <v>1831</v>
      </c>
      <c r="CT4" s="140" t="s">
        <v>18</v>
      </c>
      <c r="CU4" s="187" t="s">
        <v>1831</v>
      </c>
      <c r="CV4" s="184" t="s">
        <v>1812</v>
      </c>
      <c r="CW4" s="187" t="s">
        <v>1831</v>
      </c>
      <c r="CX4" s="187" t="s">
        <v>1831</v>
      </c>
      <c r="CY4" s="187" t="s">
        <v>1831</v>
      </c>
      <c r="CZ4" s="187" t="s">
        <v>18</v>
      </c>
      <c r="DA4" s="184" t="s">
        <v>1812</v>
      </c>
      <c r="DB4" s="187" t="s">
        <v>1831</v>
      </c>
      <c r="DC4" s="187" t="s">
        <v>1831</v>
      </c>
      <c r="DD4" s="187" t="s">
        <v>1831</v>
      </c>
      <c r="DE4" s="187" t="s">
        <v>1831</v>
      </c>
      <c r="DF4" s="184" t="s">
        <v>1812</v>
      </c>
      <c r="DG4" s="187" t="s">
        <v>1831</v>
      </c>
      <c r="DH4" s="187" t="s">
        <v>1831</v>
      </c>
      <c r="DI4" s="187" t="s">
        <v>1831</v>
      </c>
      <c r="DJ4" s="187" t="s">
        <v>1831</v>
      </c>
      <c r="DK4" s="184" t="s">
        <v>1812</v>
      </c>
      <c r="DL4" s="187" t="s">
        <v>1831</v>
      </c>
      <c r="DM4" s="187" t="s">
        <v>1831</v>
      </c>
      <c r="DN4" s="187" t="s">
        <v>1832</v>
      </c>
      <c r="DO4" s="187" t="s">
        <v>1832</v>
      </c>
      <c r="DP4" s="184" t="s">
        <v>1812</v>
      </c>
      <c r="DQ4" s="187" t="s">
        <v>1832</v>
      </c>
      <c r="DR4" s="187" t="s">
        <v>1832</v>
      </c>
      <c r="DS4" s="187" t="s">
        <v>1833</v>
      </c>
      <c r="DT4" s="187" t="s">
        <v>1834</v>
      </c>
      <c r="DU4" s="184" t="s">
        <v>1812</v>
      </c>
      <c r="DV4" s="180" t="s">
        <v>868</v>
      </c>
      <c r="DW4" s="187" t="s">
        <v>1834</v>
      </c>
      <c r="DX4" s="187" t="s">
        <v>1834</v>
      </c>
      <c r="DY4" s="187" t="s">
        <v>1835</v>
      </c>
      <c r="DZ4" s="184" t="s">
        <v>1812</v>
      </c>
      <c r="EA4" s="187" t="s">
        <v>1834</v>
      </c>
      <c r="EB4" s="187" t="s">
        <v>1834</v>
      </c>
      <c r="EC4" s="187" t="s">
        <v>1834</v>
      </c>
      <c r="ED4" s="187" t="s">
        <v>1834</v>
      </c>
      <c r="EE4" s="184" t="s">
        <v>1812</v>
      </c>
      <c r="EF4" s="187" t="s">
        <v>1834</v>
      </c>
      <c r="EG4" s="187" t="s">
        <v>1834</v>
      </c>
      <c r="EH4" s="187" t="s">
        <v>1834</v>
      </c>
      <c r="EI4" s="187" t="s">
        <v>1834</v>
      </c>
      <c r="EJ4" s="184" t="s">
        <v>1812</v>
      </c>
      <c r="EK4" s="286" t="s">
        <v>1836</v>
      </c>
      <c r="EL4" s="187" t="s">
        <v>1837</v>
      </c>
      <c r="EM4" s="187" t="s">
        <v>1786</v>
      </c>
      <c r="EN4" s="187" t="s">
        <v>1786</v>
      </c>
      <c r="EO4" s="184" t="s">
        <v>1812</v>
      </c>
      <c r="EP4" s="187" t="s">
        <v>1786</v>
      </c>
      <c r="EQ4" s="187" t="s">
        <v>1786</v>
      </c>
      <c r="ER4" s="187" t="s">
        <v>1786</v>
      </c>
      <c r="ES4" s="187" t="s">
        <v>1786</v>
      </c>
      <c r="ET4" s="184" t="s">
        <v>1812</v>
      </c>
      <c r="EU4" s="184" t="s">
        <v>18</v>
      </c>
      <c r="EV4" s="321" t="s">
        <v>1838</v>
      </c>
      <c r="EW4" s="321" t="s">
        <v>1838</v>
      </c>
      <c r="EX4" s="321" t="s">
        <v>1838</v>
      </c>
      <c r="EY4" s="184" t="s">
        <v>1812</v>
      </c>
      <c r="EZ4" s="321" t="s">
        <v>1839</v>
      </c>
      <c r="FA4" s="321" t="s">
        <v>1839</v>
      </c>
      <c r="FB4" s="321" t="s">
        <v>1839</v>
      </c>
      <c r="FC4" s="321" t="s">
        <v>1839</v>
      </c>
      <c r="FD4" s="184" t="s">
        <v>1812</v>
      </c>
      <c r="FE4" s="344" t="s">
        <v>1840</v>
      </c>
      <c r="FF4" s="332" t="s">
        <v>1840</v>
      </c>
      <c r="FG4" s="332" t="s">
        <v>1840</v>
      </c>
      <c r="FH4" s="332" t="s">
        <v>1840</v>
      </c>
      <c r="FI4" s="184" t="s">
        <v>1812</v>
      </c>
      <c r="FJ4" s="332" t="s">
        <v>1840</v>
      </c>
      <c r="FK4" s="332" t="s">
        <v>1840</v>
      </c>
      <c r="FL4" s="187" t="s">
        <v>1841</v>
      </c>
      <c r="FM4" s="187" t="s">
        <v>1841</v>
      </c>
      <c r="FN4" s="184" t="s">
        <v>1812</v>
      </c>
      <c r="FO4" s="187" t="s">
        <v>1841</v>
      </c>
      <c r="FP4" s="187" t="s">
        <v>1841</v>
      </c>
      <c r="FQ4" s="345" t="s">
        <v>141</v>
      </c>
      <c r="FR4" s="345" t="s">
        <v>141</v>
      </c>
      <c r="FS4" s="184" t="s">
        <v>1812</v>
      </c>
      <c r="FT4" s="345" t="s">
        <v>1842</v>
      </c>
      <c r="FU4" s="187" t="s">
        <v>1843</v>
      </c>
      <c r="FV4" s="187" t="s">
        <v>1841</v>
      </c>
      <c r="FW4" s="187" t="s">
        <v>1841</v>
      </c>
      <c r="FX4" s="184" t="s">
        <v>1812</v>
      </c>
      <c r="FY4" s="358" t="s">
        <v>141</v>
      </c>
      <c r="FZ4" s="358" t="s">
        <v>141</v>
      </c>
      <c r="GA4" s="187" t="s">
        <v>1844</v>
      </c>
      <c r="GB4" s="346" t="s">
        <v>1845</v>
      </c>
      <c r="GC4" s="184" t="s">
        <v>1812</v>
      </c>
      <c r="GD4" s="346" t="s">
        <v>1845</v>
      </c>
      <c r="GE4" s="187" t="s">
        <v>1846</v>
      </c>
      <c r="GF4" s="188" t="s">
        <v>1847</v>
      </c>
      <c r="GG4" s="279" t="s">
        <v>1848</v>
      </c>
      <c r="GH4" s="184" t="s">
        <v>1812</v>
      </c>
      <c r="GI4" s="349" t="s">
        <v>1849</v>
      </c>
      <c r="GJ4" s="187" t="s">
        <v>1846</v>
      </c>
      <c r="GK4" s="187" t="s">
        <v>1846</v>
      </c>
      <c r="GL4" s="187" t="s">
        <v>1846</v>
      </c>
      <c r="GM4" s="184" t="s">
        <v>1812</v>
      </c>
      <c r="GN4" s="187" t="s">
        <v>1846</v>
      </c>
      <c r="GO4" s="187" t="s">
        <v>1846</v>
      </c>
      <c r="GP4" s="187" t="s">
        <v>1846</v>
      </c>
      <c r="GQ4" s="187" t="s">
        <v>1846</v>
      </c>
      <c r="GR4" s="184" t="s">
        <v>1812</v>
      </c>
      <c r="GS4" s="346" t="s">
        <v>1850</v>
      </c>
      <c r="GT4" s="346" t="s">
        <v>1850</v>
      </c>
      <c r="GU4" s="346" t="s">
        <v>1850</v>
      </c>
      <c r="GV4" s="346" t="s">
        <v>1850</v>
      </c>
      <c r="GW4" s="184" t="s">
        <v>1812</v>
      </c>
      <c r="GX4" s="394" t="s">
        <v>1851</v>
      </c>
      <c r="GY4" s="394" t="s">
        <v>1851</v>
      </c>
      <c r="GZ4" s="394" t="s">
        <v>1851</v>
      </c>
      <c r="HA4" s="639" t="s">
        <v>1852</v>
      </c>
      <c r="HB4" s="184" t="s">
        <v>1812</v>
      </c>
      <c r="HC4" s="394" t="s">
        <v>1853</v>
      </c>
      <c r="HD4" s="394" t="s">
        <v>1853</v>
      </c>
      <c r="HE4" s="396" t="s">
        <v>1853</v>
      </c>
      <c r="HF4" s="639" t="s">
        <v>1852</v>
      </c>
      <c r="HG4" s="184" t="s">
        <v>1812</v>
      </c>
      <c r="HH4" s="140" t="s">
        <v>1854</v>
      </c>
      <c r="HI4" s="140" t="s">
        <v>1854</v>
      </c>
      <c r="HJ4" s="140" t="s">
        <v>1854</v>
      </c>
      <c r="HK4" s="140" t="s">
        <v>1854</v>
      </c>
      <c r="HL4" s="184" t="s">
        <v>1812</v>
      </c>
      <c r="HM4" s="140" t="s">
        <v>1854</v>
      </c>
      <c r="HN4" s="140" t="s">
        <v>1854</v>
      </c>
      <c r="HO4" s="140" t="s">
        <v>1854</v>
      </c>
      <c r="HP4" s="140" t="s">
        <v>1854</v>
      </c>
      <c r="HQ4" s="184" t="s">
        <v>1812</v>
      </c>
      <c r="HR4" s="140" t="s">
        <v>1854</v>
      </c>
      <c r="HS4" s="140" t="s">
        <v>1854</v>
      </c>
      <c r="HT4" s="140" t="s">
        <v>1854</v>
      </c>
      <c r="HU4" s="674" t="s">
        <v>18</v>
      </c>
      <c r="HV4" s="184" t="s">
        <v>1812</v>
      </c>
      <c r="HW4" s="140" t="s">
        <v>1854</v>
      </c>
      <c r="HX4" s="140" t="s">
        <v>1854</v>
      </c>
      <c r="HY4" s="140" t="s">
        <v>1854</v>
      </c>
      <c r="HZ4" s="140" t="s">
        <v>1854</v>
      </c>
      <c r="IA4" s="184" t="s">
        <v>1812</v>
      </c>
      <c r="IB4" s="140" t="s">
        <v>1855</v>
      </c>
      <c r="IC4" s="140" t="s">
        <v>1856</v>
      </c>
      <c r="ID4" s="687" t="s">
        <v>141</v>
      </c>
      <c r="IE4" s="687" t="s">
        <v>141</v>
      </c>
      <c r="IF4" s="687" t="s">
        <v>141</v>
      </c>
      <c r="IG4" s="140"/>
      <c r="IH4" s="140"/>
      <c r="II4" s="140" t="s">
        <v>1857</v>
      </c>
      <c r="IJ4" s="140" t="s">
        <v>1857</v>
      </c>
      <c r="IK4" s="184" t="s">
        <v>1812</v>
      </c>
      <c r="IL4" s="140" t="s">
        <v>1857</v>
      </c>
      <c r="IM4" s="140" t="s">
        <v>1857</v>
      </c>
      <c r="IN4" s="140" t="s">
        <v>1857</v>
      </c>
      <c r="IO4" s="140" t="s">
        <v>1857</v>
      </c>
      <c r="IP4" s="184" t="s">
        <v>1812</v>
      </c>
      <c r="IQ4" s="140" t="s">
        <v>1857</v>
      </c>
      <c r="IR4" s="140" t="s">
        <v>1857</v>
      </c>
      <c r="IS4" s="140" t="s">
        <v>1857</v>
      </c>
      <c r="IT4" s="140" t="s">
        <v>1857</v>
      </c>
      <c r="IU4" s="184" t="s">
        <v>1812</v>
      </c>
      <c r="IV4" s="140" t="s">
        <v>1857</v>
      </c>
      <c r="IW4" s="188" t="s">
        <v>1858</v>
      </c>
      <c r="IX4" s="188" t="s">
        <v>1858</v>
      </c>
      <c r="IY4" s="188" t="s">
        <v>1859</v>
      </c>
      <c r="IZ4" s="184" t="s">
        <v>1812</v>
      </c>
      <c r="JA4" s="188" t="s">
        <v>1858</v>
      </c>
      <c r="JB4" s="188" t="s">
        <v>1858</v>
      </c>
      <c r="JC4" s="188" t="s">
        <v>1858</v>
      </c>
      <c r="JD4" s="188" t="s">
        <v>1858</v>
      </c>
      <c r="JE4" s="184" t="s">
        <v>1812</v>
      </c>
      <c r="JF4" s="753" t="s">
        <v>141</v>
      </c>
      <c r="JG4" s="753" t="s">
        <v>141</v>
      </c>
      <c r="JH4" s="188" t="s">
        <v>1858</v>
      </c>
      <c r="JI4" s="188" t="s">
        <v>1858</v>
      </c>
      <c r="JJ4" s="184" t="s">
        <v>1812</v>
      </c>
      <c r="JK4" s="778" t="s">
        <v>1860</v>
      </c>
      <c r="JL4" s="141" t="s">
        <v>1861</v>
      </c>
      <c r="JM4" s="780" t="s">
        <v>141</v>
      </c>
      <c r="JN4" s="657" t="s">
        <v>193</v>
      </c>
      <c r="JO4" s="184" t="s">
        <v>1812</v>
      </c>
      <c r="JP4" s="661" t="s">
        <v>196</v>
      </c>
      <c r="JQ4" s="661" t="s">
        <v>195</v>
      </c>
      <c r="JR4" s="661" t="s">
        <v>196</v>
      </c>
      <c r="JS4" s="661" t="s">
        <v>195</v>
      </c>
      <c r="JT4" s="184" t="s">
        <v>1812</v>
      </c>
      <c r="JU4" s="661" t="s">
        <v>195</v>
      </c>
      <c r="JV4" s="661" t="s">
        <v>195</v>
      </c>
      <c r="JW4" s="661" t="s">
        <v>195</v>
      </c>
      <c r="JX4" s="661" t="s">
        <v>195</v>
      </c>
      <c r="JY4" s="184" t="s">
        <v>1812</v>
      </c>
      <c r="JZ4" s="779" t="s">
        <v>1862</v>
      </c>
      <c r="KA4" s="779" t="s">
        <v>1862</v>
      </c>
      <c r="KB4" s="141"/>
      <c r="KC4" s="141"/>
      <c r="KD4" s="184" t="s">
        <v>1812</v>
      </c>
      <c r="KE4" s="141"/>
      <c r="KF4" s="141"/>
      <c r="KG4" s="141"/>
      <c r="KH4" s="141"/>
      <c r="KI4" s="184" t="s">
        <v>1812</v>
      </c>
      <c r="KJ4" s="141"/>
      <c r="KK4" s="141"/>
      <c r="KL4" s="141"/>
      <c r="KM4" s="141"/>
      <c r="KN4" s="184" t="s">
        <v>1812</v>
      </c>
      <c r="KO4" s="141"/>
      <c r="KP4" s="141"/>
      <c r="KQ4" s="141"/>
      <c r="KR4" s="141"/>
      <c r="KS4" s="184" t="s">
        <v>1812</v>
      </c>
      <c r="KT4" s="141"/>
      <c r="KU4" s="141"/>
      <c r="KV4" s="141"/>
      <c r="KW4" s="141"/>
      <c r="KX4" s="184" t="s">
        <v>1812</v>
      </c>
      <c r="KY4" s="141"/>
      <c r="KZ4" s="141"/>
      <c r="LA4" s="141"/>
      <c r="LB4" s="141"/>
    </row>
    <row r="5" spans="1:333" ht="102" hidden="1" customHeight="1">
      <c r="A5" s="41" t="s">
        <v>1863</v>
      </c>
      <c r="B5" s="27" t="s">
        <v>1864</v>
      </c>
      <c r="C5" s="27" t="s">
        <v>1865</v>
      </c>
      <c r="D5" s="27" t="s">
        <v>1865</v>
      </c>
      <c r="E5" s="27" t="s">
        <v>1866</v>
      </c>
      <c r="F5" s="27" t="s">
        <v>1867</v>
      </c>
      <c r="G5" s="27" t="s">
        <v>1868</v>
      </c>
      <c r="H5" s="27" t="s">
        <v>1869</v>
      </c>
      <c r="I5" s="205" t="s">
        <v>1870</v>
      </c>
      <c r="J5" s="189" t="s">
        <v>1871</v>
      </c>
      <c r="K5" s="141" t="s">
        <v>1872</v>
      </c>
      <c r="L5" s="141" t="s">
        <v>1873</v>
      </c>
      <c r="M5" s="141" t="s">
        <v>1873</v>
      </c>
      <c r="N5" s="141" t="s">
        <v>1873</v>
      </c>
      <c r="O5" s="141" t="s">
        <v>1873</v>
      </c>
      <c r="P5" s="141" t="s">
        <v>1874</v>
      </c>
      <c r="Q5" s="141" t="s">
        <v>1874</v>
      </c>
      <c r="R5" s="141" t="s">
        <v>1874</v>
      </c>
      <c r="S5" s="141" t="s">
        <v>1874</v>
      </c>
      <c r="T5" s="141" t="s">
        <v>1874</v>
      </c>
      <c r="U5" s="169" t="s">
        <v>1749</v>
      </c>
      <c r="V5" s="169" t="s">
        <v>1749</v>
      </c>
      <c r="W5" s="169" t="s">
        <v>1749</v>
      </c>
      <c r="X5" s="169" t="s">
        <v>1749</v>
      </c>
      <c r="Y5" s="169" t="s">
        <v>1749</v>
      </c>
      <c r="Z5" s="172" t="s">
        <v>1875</v>
      </c>
      <c r="AA5" s="172" t="s">
        <v>1875</v>
      </c>
      <c r="AB5" s="172" t="s">
        <v>1875</v>
      </c>
      <c r="AC5" s="172" t="s">
        <v>1875</v>
      </c>
      <c r="AD5" s="172" t="s">
        <v>1875</v>
      </c>
      <c r="AE5" s="173" t="s">
        <v>1876</v>
      </c>
      <c r="AF5" s="190" t="s">
        <v>49</v>
      </c>
      <c r="AG5" s="171" t="s">
        <v>18</v>
      </c>
      <c r="AH5" s="172" t="s">
        <v>1877</v>
      </c>
      <c r="AI5" s="171" t="s">
        <v>18</v>
      </c>
      <c r="AJ5" s="172" t="s">
        <v>1878</v>
      </c>
      <c r="AK5" s="171" t="s">
        <v>18</v>
      </c>
      <c r="AL5" s="172" t="s">
        <v>1879</v>
      </c>
      <c r="AM5" s="172" t="s">
        <v>1879</v>
      </c>
      <c r="AN5" s="172" t="s">
        <v>1879</v>
      </c>
      <c r="AO5" s="171" t="s">
        <v>1880</v>
      </c>
      <c r="AP5" s="172" t="s">
        <v>1881</v>
      </c>
      <c r="AQ5" s="172" t="s">
        <v>1772</v>
      </c>
      <c r="AR5" s="172" t="s">
        <v>1772</v>
      </c>
      <c r="AS5" s="172" t="s">
        <v>1882</v>
      </c>
      <c r="AT5" s="172" t="s">
        <v>1882</v>
      </c>
      <c r="AU5" s="172" t="s">
        <v>1882</v>
      </c>
      <c r="AV5" s="172" t="s">
        <v>1882</v>
      </c>
      <c r="AW5" s="174" t="s">
        <v>1768</v>
      </c>
      <c r="AX5" s="174" t="s">
        <v>1768</v>
      </c>
      <c r="AY5" s="191" t="s">
        <v>924</v>
      </c>
      <c r="AZ5" s="191" t="s">
        <v>924</v>
      </c>
      <c r="BA5" s="191" t="s">
        <v>924</v>
      </c>
      <c r="BB5" s="191" t="s">
        <v>924</v>
      </c>
      <c r="BC5" s="191" t="s">
        <v>924</v>
      </c>
      <c r="BD5" s="192" t="s">
        <v>1883</v>
      </c>
      <c r="BE5" s="193" t="s">
        <v>1773</v>
      </c>
      <c r="BF5" s="192" t="s">
        <v>1884</v>
      </c>
      <c r="BG5" s="192" t="s">
        <v>1884</v>
      </c>
      <c r="BH5" s="192" t="s">
        <v>1884</v>
      </c>
      <c r="BI5" s="172" t="s">
        <v>1884</v>
      </c>
      <c r="BJ5" s="177" t="s">
        <v>1885</v>
      </c>
      <c r="BK5" s="177" t="s">
        <v>1884</v>
      </c>
      <c r="BL5" s="177" t="s">
        <v>1886</v>
      </c>
      <c r="BM5" s="177" t="s">
        <v>1884</v>
      </c>
      <c r="BN5" s="194" t="s">
        <v>1887</v>
      </c>
      <c r="BO5" s="194" t="s">
        <v>1887</v>
      </c>
      <c r="BP5" s="177" t="s">
        <v>1887</v>
      </c>
      <c r="BQ5" s="195" t="s">
        <v>1776</v>
      </c>
      <c r="BR5" s="195" t="s">
        <v>1776</v>
      </c>
      <c r="BS5" s="195" t="s">
        <v>1776</v>
      </c>
      <c r="BT5" s="195" t="s">
        <v>1776</v>
      </c>
      <c r="BU5" s="195" t="s">
        <v>1776</v>
      </c>
      <c r="BV5" s="195" t="s">
        <v>1776</v>
      </c>
      <c r="BW5" s="178" t="s">
        <v>1812</v>
      </c>
      <c r="BX5" s="178" t="s">
        <v>1888</v>
      </c>
      <c r="BY5" s="178" t="s">
        <v>1889</v>
      </c>
      <c r="BZ5" s="178" t="s">
        <v>1890</v>
      </c>
      <c r="CA5" s="196" t="s">
        <v>1889</v>
      </c>
      <c r="CB5" s="194" t="s">
        <v>1891</v>
      </c>
      <c r="CC5" s="178" t="s">
        <v>1892</v>
      </c>
      <c r="CD5" s="178" t="s">
        <v>1892</v>
      </c>
      <c r="CE5" s="178" t="s">
        <v>1892</v>
      </c>
      <c r="CF5" s="178" t="s">
        <v>1892</v>
      </c>
      <c r="CG5" s="178" t="s">
        <v>1892</v>
      </c>
      <c r="CH5" s="195" t="s">
        <v>1893</v>
      </c>
      <c r="CI5" s="187" t="s">
        <v>1894</v>
      </c>
      <c r="CJ5" s="187" t="s">
        <v>1892</v>
      </c>
      <c r="CK5" s="187" t="s">
        <v>1892</v>
      </c>
      <c r="CL5" s="187" t="s">
        <v>1892</v>
      </c>
      <c r="CM5" s="187" t="s">
        <v>1895</v>
      </c>
      <c r="CN5" s="187" t="s">
        <v>1896</v>
      </c>
      <c r="CO5" s="187" t="s">
        <v>1896</v>
      </c>
      <c r="CP5" s="187" t="s">
        <v>1896</v>
      </c>
      <c r="CQ5" s="187" t="s">
        <v>1897</v>
      </c>
      <c r="CR5" s="187" t="s">
        <v>1897</v>
      </c>
      <c r="CS5" s="187" t="s">
        <v>1897</v>
      </c>
      <c r="CT5" s="187" t="s">
        <v>1898</v>
      </c>
      <c r="CU5" s="187" t="s">
        <v>1898</v>
      </c>
      <c r="CV5" s="187" t="s">
        <v>1899</v>
      </c>
      <c r="CW5" s="187" t="s">
        <v>1900</v>
      </c>
      <c r="CX5" s="187" t="s">
        <v>1901</v>
      </c>
      <c r="CY5" s="187" t="s">
        <v>1902</v>
      </c>
      <c r="CZ5" s="187" t="s">
        <v>1902</v>
      </c>
      <c r="DA5" s="187" t="s">
        <v>1902</v>
      </c>
      <c r="DB5" s="179" t="s">
        <v>1781</v>
      </c>
      <c r="DC5" s="187" t="s">
        <v>1902</v>
      </c>
      <c r="DD5" s="187" t="s">
        <v>1902</v>
      </c>
      <c r="DE5" s="187" t="s">
        <v>1902</v>
      </c>
      <c r="DF5" s="187" t="s">
        <v>1902</v>
      </c>
      <c r="DG5" s="187" t="s">
        <v>1902</v>
      </c>
      <c r="DH5" s="187" t="s">
        <v>1902</v>
      </c>
      <c r="DI5" s="187" t="s">
        <v>1902</v>
      </c>
      <c r="DJ5" s="187" t="s">
        <v>1902</v>
      </c>
      <c r="DK5" s="187" t="s">
        <v>1902</v>
      </c>
      <c r="DL5" s="187" t="s">
        <v>1902</v>
      </c>
      <c r="DM5" s="187" t="s">
        <v>1902</v>
      </c>
      <c r="DN5" s="187" t="s">
        <v>1902</v>
      </c>
      <c r="DO5" s="187" t="s">
        <v>1902</v>
      </c>
      <c r="DP5" s="187" t="s">
        <v>1903</v>
      </c>
      <c r="DQ5" s="187" t="s">
        <v>1903</v>
      </c>
      <c r="DR5" s="187" t="s">
        <v>1904</v>
      </c>
      <c r="DS5" s="187" t="s">
        <v>1905</v>
      </c>
      <c r="DT5" s="187" t="s">
        <v>1905</v>
      </c>
      <c r="DU5" s="187" t="s">
        <v>1905</v>
      </c>
      <c r="DV5" s="187" t="s">
        <v>1905</v>
      </c>
      <c r="DW5" s="187" t="s">
        <v>1905</v>
      </c>
      <c r="DX5" s="187" t="s">
        <v>1906</v>
      </c>
      <c r="DY5" s="187" t="s">
        <v>1906</v>
      </c>
      <c r="DZ5" s="187" t="s">
        <v>1907</v>
      </c>
      <c r="EA5" s="187" t="s">
        <v>1906</v>
      </c>
      <c r="EB5" s="187" t="s">
        <v>1906</v>
      </c>
      <c r="EC5" s="187" t="s">
        <v>1908</v>
      </c>
      <c r="ED5" s="187" t="s">
        <v>1909</v>
      </c>
      <c r="EE5" s="277" t="s">
        <v>1910</v>
      </c>
      <c r="EF5" s="277" t="s">
        <v>1911</v>
      </c>
      <c r="EG5" s="277" t="s">
        <v>1912</v>
      </c>
      <c r="EH5" s="277" t="s">
        <v>1911</v>
      </c>
      <c r="EI5" s="277" t="s">
        <v>1911</v>
      </c>
      <c r="EJ5" s="187" t="s">
        <v>1911</v>
      </c>
      <c r="EK5" s="187" t="s">
        <v>1911</v>
      </c>
      <c r="EL5" s="187" t="s">
        <v>1911</v>
      </c>
      <c r="EM5" s="187" t="s">
        <v>1911</v>
      </c>
      <c r="EN5" s="187" t="s">
        <v>1911</v>
      </c>
      <c r="EO5" s="187" t="s">
        <v>1911</v>
      </c>
      <c r="EP5" s="187" t="s">
        <v>1913</v>
      </c>
      <c r="EQ5" s="264"/>
      <c r="ER5" s="264"/>
      <c r="ES5" s="264"/>
      <c r="ET5" s="264"/>
      <c r="EU5" s="264"/>
      <c r="EV5" s="264"/>
      <c r="EW5" s="265"/>
      <c r="EX5" s="266"/>
      <c r="EY5" s="266"/>
      <c r="EZ5" s="140"/>
      <c r="FA5" s="266"/>
      <c r="FB5" s="266"/>
      <c r="FC5" s="266"/>
      <c r="FD5" s="266"/>
      <c r="FE5" s="252" t="s">
        <v>1914</v>
      </c>
      <c r="FF5" s="252" t="s">
        <v>1914</v>
      </c>
      <c r="FG5" s="252" t="s">
        <v>1914</v>
      </c>
      <c r="FH5" s="252" t="s">
        <v>1914</v>
      </c>
      <c r="FI5" s="252" t="s">
        <v>1914</v>
      </c>
      <c r="FJ5" s="287" t="s">
        <v>1915</v>
      </c>
      <c r="FK5" s="287" t="s">
        <v>1915</v>
      </c>
      <c r="FL5" s="287" t="s">
        <v>1915</v>
      </c>
      <c r="FM5" s="287" t="s">
        <v>1915</v>
      </c>
      <c r="FN5" s="287" t="s">
        <v>1915</v>
      </c>
      <c r="FO5" s="266"/>
      <c r="FP5" s="140"/>
      <c r="FQ5" s="140"/>
      <c r="FR5" s="140"/>
      <c r="FS5" s="140"/>
      <c r="FT5" s="140"/>
      <c r="FU5" s="140"/>
      <c r="FV5" s="140"/>
      <c r="FW5" s="140"/>
      <c r="FX5" s="140"/>
      <c r="FY5" s="140"/>
      <c r="FZ5" s="140"/>
      <c r="GA5" s="140"/>
      <c r="GB5" s="140"/>
      <c r="GC5" s="140"/>
      <c r="GD5" s="140"/>
      <c r="GE5" s="140"/>
      <c r="GF5" s="140"/>
      <c r="GG5" s="140"/>
      <c r="GH5" s="140"/>
      <c r="GI5" s="349"/>
      <c r="GJ5" s="349"/>
      <c r="GK5" s="140"/>
      <c r="GL5" s="140"/>
      <c r="GM5" s="347"/>
      <c r="GN5" s="140"/>
      <c r="GO5" s="140"/>
      <c r="GP5" s="140"/>
      <c r="GQ5" s="140"/>
      <c r="GR5" s="140"/>
      <c r="GS5" s="348"/>
      <c r="GT5" s="140"/>
      <c r="GU5" s="140"/>
      <c r="GV5" s="140"/>
      <c r="GW5" s="140"/>
      <c r="GX5" s="349"/>
      <c r="GY5" s="140"/>
      <c r="GZ5" s="140"/>
      <c r="HA5" s="365"/>
      <c r="HB5" s="376" t="s">
        <v>1365</v>
      </c>
      <c r="HC5" s="376" t="s">
        <v>1365</v>
      </c>
      <c r="HD5" s="376" t="s">
        <v>1365</v>
      </c>
      <c r="HE5" s="376" t="s">
        <v>1365</v>
      </c>
      <c r="HF5" s="376" t="s">
        <v>1365</v>
      </c>
      <c r="HG5" s="376" t="s">
        <v>1365</v>
      </c>
      <c r="HH5" s="376" t="s">
        <v>1365</v>
      </c>
      <c r="HI5" s="376" t="s">
        <v>1365</v>
      </c>
      <c r="HJ5" s="376" t="s">
        <v>1365</v>
      </c>
      <c r="HK5" s="140"/>
      <c r="HL5" s="266"/>
      <c r="HM5" s="266"/>
      <c r="HN5" s="266"/>
      <c r="HO5" s="266"/>
      <c r="HP5" s="266"/>
      <c r="HQ5" s="266"/>
      <c r="HR5" s="140"/>
      <c r="HS5" s="266"/>
      <c r="HT5" s="266"/>
      <c r="HU5" s="266"/>
      <c r="HV5" s="266"/>
      <c r="HW5" s="266"/>
      <c r="HX5" s="266"/>
      <c r="HY5" s="140"/>
      <c r="HZ5" s="140"/>
      <c r="IA5" s="140"/>
      <c r="IB5" s="140"/>
      <c r="IC5" s="140"/>
      <c r="ID5" s="266"/>
      <c r="IE5" s="266"/>
      <c r="IF5" s="266"/>
      <c r="IG5" s="266"/>
      <c r="IH5" s="266"/>
      <c r="II5" s="266"/>
      <c r="IJ5" s="140"/>
      <c r="IK5" s="266"/>
      <c r="IL5" s="266"/>
      <c r="IM5" s="266"/>
      <c r="IN5" s="266"/>
      <c r="IO5" s="266"/>
      <c r="IP5" s="266"/>
      <c r="IQ5" s="140"/>
      <c r="IR5" s="266"/>
      <c r="IS5" s="266"/>
      <c r="IT5" s="266"/>
      <c r="IU5" s="266"/>
      <c r="IV5" s="266"/>
      <c r="IW5" s="266"/>
      <c r="IX5" s="657" t="s">
        <v>193</v>
      </c>
      <c r="IY5" s="657" t="s">
        <v>193</v>
      </c>
      <c r="IZ5" s="140"/>
      <c r="JA5" s="140"/>
      <c r="JB5" s="266"/>
      <c r="JC5" s="266"/>
      <c r="JD5" s="140"/>
      <c r="JE5" s="266"/>
      <c r="JF5" s="266"/>
      <c r="JG5" s="266"/>
      <c r="JH5" s="266"/>
      <c r="JI5" s="266"/>
      <c r="JJ5" s="140"/>
      <c r="JK5" s="266"/>
      <c r="JL5" s="266"/>
      <c r="JM5" s="266"/>
      <c r="JN5" s="266"/>
      <c r="JO5" s="140"/>
      <c r="JP5" s="379"/>
      <c r="JT5" s="265"/>
      <c r="JU5" s="265"/>
      <c r="JV5" s="142"/>
      <c r="JW5" s="142"/>
      <c r="JX5" s="142"/>
      <c r="JY5" s="142"/>
      <c r="JZ5" s="142"/>
      <c r="KA5" s="142"/>
      <c r="KB5" s="142"/>
      <c r="KC5" s="142"/>
      <c r="KD5" s="142"/>
      <c r="KE5" s="142"/>
      <c r="KF5" s="142"/>
      <c r="KG5" s="142"/>
      <c r="KH5" s="142"/>
      <c r="KI5" s="142"/>
      <c r="KJ5" s="142"/>
      <c r="KK5" s="142"/>
      <c r="KL5" s="142"/>
      <c r="KM5" s="142"/>
      <c r="KN5" s="142"/>
      <c r="KO5" s="142"/>
      <c r="KP5" s="142"/>
      <c r="KQ5" s="142"/>
      <c r="KR5" s="142"/>
      <c r="KS5" s="142"/>
      <c r="KT5" s="142"/>
      <c r="KU5" s="142"/>
      <c r="KV5" s="142"/>
      <c r="KW5" s="142"/>
      <c r="KX5" s="142"/>
      <c r="KY5" s="142"/>
      <c r="KZ5" s="142"/>
      <c r="LA5" s="142"/>
      <c r="LB5" s="142"/>
    </row>
    <row r="6" spans="1:333" ht="102" customHeight="1">
      <c r="A6" s="41" t="s">
        <v>1916</v>
      </c>
      <c r="B6" s="27" t="s">
        <v>27</v>
      </c>
      <c r="C6" s="27" t="s">
        <v>27</v>
      </c>
      <c r="D6" s="27" t="s">
        <v>27</v>
      </c>
      <c r="E6" s="27" t="s">
        <v>1917</v>
      </c>
      <c r="F6" s="27" t="s">
        <v>27</v>
      </c>
      <c r="G6" s="27" t="s">
        <v>1918</v>
      </c>
      <c r="H6" s="27" t="s">
        <v>1919</v>
      </c>
      <c r="I6" s="204" t="s">
        <v>1920</v>
      </c>
      <c r="J6" s="141" t="s">
        <v>1921</v>
      </c>
      <c r="K6" s="141" t="s">
        <v>1922</v>
      </c>
      <c r="L6" s="141"/>
      <c r="M6" s="141"/>
      <c r="N6" s="141"/>
      <c r="O6" s="141"/>
      <c r="P6" s="141" t="s">
        <v>1923</v>
      </c>
      <c r="Q6" s="141"/>
      <c r="R6" s="141"/>
      <c r="S6" s="141"/>
      <c r="T6" s="141"/>
      <c r="U6" s="141" t="s">
        <v>1924</v>
      </c>
      <c r="V6" s="141"/>
      <c r="W6" s="141"/>
      <c r="X6" s="141"/>
      <c r="Y6" s="141"/>
      <c r="Z6" s="197" t="s">
        <v>1925</v>
      </c>
      <c r="AA6" s="197"/>
      <c r="AB6" s="197"/>
      <c r="AC6" s="197"/>
      <c r="AD6" s="197"/>
      <c r="AE6" s="141" t="s">
        <v>1926</v>
      </c>
      <c r="AF6" s="197"/>
      <c r="AG6" s="197"/>
      <c r="AH6" s="197"/>
      <c r="AI6" s="197"/>
      <c r="AJ6" s="141" t="s">
        <v>1927</v>
      </c>
      <c r="AK6" s="197"/>
      <c r="AL6" s="197"/>
      <c r="AM6" s="197"/>
      <c r="AN6" s="197"/>
      <c r="AO6" s="172" t="s">
        <v>1928</v>
      </c>
      <c r="AP6" s="172" t="s">
        <v>1928</v>
      </c>
      <c r="AQ6" s="172" t="s">
        <v>1928</v>
      </c>
      <c r="AR6" s="172" t="s">
        <v>1928</v>
      </c>
      <c r="AS6" s="172" t="s">
        <v>1928</v>
      </c>
      <c r="AT6" s="198" t="s">
        <v>18</v>
      </c>
      <c r="AU6" s="198" t="s">
        <v>18</v>
      </c>
      <c r="AV6" s="198" t="s">
        <v>18</v>
      </c>
      <c r="AW6" s="198" t="s">
        <v>18</v>
      </c>
      <c r="AX6" s="198" t="s">
        <v>18</v>
      </c>
      <c r="AY6" s="191" t="s">
        <v>18</v>
      </c>
      <c r="AZ6" s="191" t="s">
        <v>49</v>
      </c>
      <c r="BA6" s="191" t="s">
        <v>49</v>
      </c>
      <c r="BB6" s="191" t="s">
        <v>49</v>
      </c>
      <c r="BC6" s="191" t="s">
        <v>49</v>
      </c>
      <c r="BD6" s="199" t="s">
        <v>1929</v>
      </c>
      <c r="BE6" s="188" t="s">
        <v>1930</v>
      </c>
      <c r="BF6" s="188" t="s">
        <v>1930</v>
      </c>
      <c r="BG6" s="188" t="s">
        <v>1930</v>
      </c>
      <c r="BH6" s="188" t="s">
        <v>1930</v>
      </c>
      <c r="BI6" s="177" t="s">
        <v>1931</v>
      </c>
      <c r="BJ6" s="177" t="s">
        <v>1932</v>
      </c>
      <c r="BK6" s="177" t="s">
        <v>1933</v>
      </c>
      <c r="BL6" s="177" t="s">
        <v>1933</v>
      </c>
      <c r="BM6" s="177" t="s">
        <v>1933</v>
      </c>
      <c r="BN6" s="177" t="s">
        <v>1934</v>
      </c>
      <c r="BO6" s="200" t="s">
        <v>1935</v>
      </c>
      <c r="BP6" s="200" t="s">
        <v>1935</v>
      </c>
      <c r="BQ6" s="195" t="s">
        <v>1936</v>
      </c>
      <c r="BR6" s="178" t="s">
        <v>1937</v>
      </c>
      <c r="BS6" s="178" t="s">
        <v>1937</v>
      </c>
      <c r="BT6" s="178" t="s">
        <v>1937</v>
      </c>
      <c r="BU6" s="178" t="s">
        <v>1933</v>
      </c>
      <c r="BV6" s="201" t="s">
        <v>41</v>
      </c>
      <c r="BW6" s="178" t="s">
        <v>1933</v>
      </c>
      <c r="BX6" s="178" t="s">
        <v>1933</v>
      </c>
      <c r="BY6" s="178" t="s">
        <v>1933</v>
      </c>
      <c r="BZ6" s="178" t="s">
        <v>102</v>
      </c>
      <c r="CA6" s="178" t="s">
        <v>102</v>
      </c>
      <c r="CB6" s="178" t="s">
        <v>102</v>
      </c>
      <c r="CC6" s="178" t="s">
        <v>18</v>
      </c>
      <c r="CD6" s="178" t="s">
        <v>1938</v>
      </c>
      <c r="CE6" s="178" t="s">
        <v>782</v>
      </c>
      <c r="CF6" s="202" t="s">
        <v>751</v>
      </c>
      <c r="CG6" s="178" t="s">
        <v>102</v>
      </c>
      <c r="CH6" s="178" t="s">
        <v>102</v>
      </c>
      <c r="CI6" s="178" t="s">
        <v>102</v>
      </c>
      <c r="CJ6" s="178" t="s">
        <v>102</v>
      </c>
      <c r="CK6" s="178" t="s">
        <v>102</v>
      </c>
      <c r="CL6" s="178" t="s">
        <v>102</v>
      </c>
      <c r="CM6" s="202" t="s">
        <v>751</v>
      </c>
      <c r="CN6" s="178" t="s">
        <v>1939</v>
      </c>
      <c r="CO6" s="178" t="s">
        <v>1939</v>
      </c>
      <c r="CP6" s="178" t="s">
        <v>1939</v>
      </c>
      <c r="CQ6" s="178" t="s">
        <v>1940</v>
      </c>
      <c r="CR6" s="178" t="s">
        <v>1940</v>
      </c>
      <c r="CS6" s="178" t="s">
        <v>1940</v>
      </c>
      <c r="CT6" s="178" t="s">
        <v>1940</v>
      </c>
      <c r="CU6" s="178" t="s">
        <v>1940</v>
      </c>
      <c r="CV6" s="178" t="s">
        <v>1940</v>
      </c>
      <c r="CW6" s="178" t="s">
        <v>1940</v>
      </c>
      <c r="CX6" s="178" t="s">
        <v>1940</v>
      </c>
      <c r="CY6" s="178" t="s">
        <v>1940</v>
      </c>
      <c r="CZ6" s="178" t="s">
        <v>1940</v>
      </c>
      <c r="DA6" s="178" t="s">
        <v>1940</v>
      </c>
      <c r="DB6" s="178" t="s">
        <v>1940</v>
      </c>
      <c r="DC6" s="178" t="s">
        <v>1940</v>
      </c>
      <c r="DD6" s="187" t="s">
        <v>1941</v>
      </c>
      <c r="DE6" s="178" t="s">
        <v>1940</v>
      </c>
      <c r="DF6" s="178" t="s">
        <v>1940</v>
      </c>
      <c r="DG6" s="178" t="s">
        <v>1940</v>
      </c>
      <c r="DH6" s="178" t="s">
        <v>1940</v>
      </c>
      <c r="DI6" s="178" t="s">
        <v>1940</v>
      </c>
      <c r="DJ6" s="178" t="s">
        <v>1940</v>
      </c>
      <c r="DK6" s="178" t="s">
        <v>1940</v>
      </c>
      <c r="DL6" s="178" t="s">
        <v>1940</v>
      </c>
      <c r="DM6" s="187" t="s">
        <v>1942</v>
      </c>
      <c r="DN6" s="187" t="s">
        <v>1942</v>
      </c>
      <c r="DO6" s="178" t="s">
        <v>1940</v>
      </c>
      <c r="DP6" s="178" t="s">
        <v>1940</v>
      </c>
      <c r="DQ6" s="178" t="s">
        <v>1940</v>
      </c>
      <c r="DR6" s="260" t="s">
        <v>1940</v>
      </c>
      <c r="DS6" s="260" t="s">
        <v>1940</v>
      </c>
      <c r="DT6" s="260" t="s">
        <v>1940</v>
      </c>
      <c r="DU6" s="260" t="s">
        <v>1940</v>
      </c>
      <c r="DV6" s="261" t="s">
        <v>1943</v>
      </c>
      <c r="DW6" s="261" t="s">
        <v>1944</v>
      </c>
      <c r="DX6" s="262" t="s">
        <v>1945</v>
      </c>
      <c r="DY6" s="203" t="s">
        <v>751</v>
      </c>
      <c r="DZ6" s="262" t="s">
        <v>1946</v>
      </c>
      <c r="EA6" s="262" t="s">
        <v>1947</v>
      </c>
      <c r="EB6" s="275" t="s">
        <v>1947</v>
      </c>
      <c r="EC6" s="275" t="s">
        <v>1947</v>
      </c>
      <c r="ED6" s="235" t="s">
        <v>1948</v>
      </c>
      <c r="EE6" s="235" t="s">
        <v>1948</v>
      </c>
      <c r="EF6" s="235" t="s">
        <v>1948</v>
      </c>
      <c r="EG6" s="235" t="s">
        <v>1948</v>
      </c>
      <c r="EH6" s="235" t="s">
        <v>1948</v>
      </c>
      <c r="EI6" s="235" t="s">
        <v>1948</v>
      </c>
      <c r="EJ6" s="276" t="s">
        <v>18</v>
      </c>
      <c r="EK6" s="240" t="s">
        <v>18</v>
      </c>
      <c r="EL6" s="240" t="s">
        <v>18</v>
      </c>
      <c r="EM6" s="240" t="s">
        <v>18</v>
      </c>
      <c r="EN6" s="240" t="s">
        <v>18</v>
      </c>
      <c r="EO6" s="263" t="s">
        <v>18</v>
      </c>
      <c r="EP6" s="141" t="s">
        <v>1949</v>
      </c>
      <c r="EQ6" s="141" t="s">
        <v>1950</v>
      </c>
      <c r="ER6" s="142" t="s">
        <v>1951</v>
      </c>
      <c r="ES6" s="142" t="s">
        <v>1951</v>
      </c>
      <c r="ET6" s="142" t="s">
        <v>1951</v>
      </c>
      <c r="EU6" s="142" t="s">
        <v>1951</v>
      </c>
      <c r="EV6" s="141" t="s">
        <v>1952</v>
      </c>
      <c r="EW6" s="142" t="s">
        <v>1951</v>
      </c>
      <c r="EX6" s="142" t="s">
        <v>1951</v>
      </c>
      <c r="EY6" s="142" t="s">
        <v>1951</v>
      </c>
      <c r="EZ6" s="268" t="s">
        <v>1951</v>
      </c>
      <c r="FA6" s="268" t="s">
        <v>1951</v>
      </c>
      <c r="FB6" s="268" t="s">
        <v>1951</v>
      </c>
      <c r="FC6" s="235" t="s">
        <v>1948</v>
      </c>
      <c r="FD6" s="283" t="s">
        <v>751</v>
      </c>
      <c r="FE6" s="257" t="s">
        <v>1953</v>
      </c>
      <c r="FF6" s="257" t="s">
        <v>18</v>
      </c>
      <c r="FG6" s="257" t="s">
        <v>1953</v>
      </c>
      <c r="FH6" s="257" t="s">
        <v>1953</v>
      </c>
      <c r="FI6" s="257" t="s">
        <v>1954</v>
      </c>
      <c r="FJ6" s="257" t="s">
        <v>1954</v>
      </c>
      <c r="FK6" s="257" t="s">
        <v>1954</v>
      </c>
      <c r="FL6" s="257" t="s">
        <v>1954</v>
      </c>
      <c r="FM6" s="235" t="s">
        <v>1948</v>
      </c>
      <c r="FN6" s="235" t="s">
        <v>1948</v>
      </c>
      <c r="FO6" s="257" t="s">
        <v>1955</v>
      </c>
      <c r="FP6" s="366" t="s">
        <v>1956</v>
      </c>
      <c r="FQ6" s="359" t="s">
        <v>1957</v>
      </c>
      <c r="FR6" s="359" t="s">
        <v>1957</v>
      </c>
      <c r="FS6" s="359" t="s">
        <v>1958</v>
      </c>
      <c r="FT6" s="257" t="s">
        <v>1959</v>
      </c>
      <c r="FU6" s="267" t="s">
        <v>1960</v>
      </c>
      <c r="FV6" s="267" t="s">
        <v>1960</v>
      </c>
      <c r="FW6" s="364" t="s">
        <v>787</v>
      </c>
      <c r="FX6" s="267" t="s">
        <v>1960</v>
      </c>
      <c r="FY6" s="267" t="s">
        <v>1960</v>
      </c>
      <c r="FZ6" s="375" t="s">
        <v>1961</v>
      </c>
      <c r="GA6" s="267" t="s">
        <v>1962</v>
      </c>
      <c r="GB6" s="267" t="s">
        <v>1962</v>
      </c>
      <c r="GC6" s="267" t="s">
        <v>1963</v>
      </c>
      <c r="GD6" s="267" t="s">
        <v>1962</v>
      </c>
      <c r="GE6" s="267" t="s">
        <v>1962</v>
      </c>
      <c r="GF6" s="267" t="s">
        <v>1962</v>
      </c>
      <c r="GG6" s="267" t="s">
        <v>1962</v>
      </c>
      <c r="GH6" s="267" t="s">
        <v>1962</v>
      </c>
      <c r="GI6" s="349" t="s">
        <v>1849</v>
      </c>
      <c r="GJ6" s="349" t="s">
        <v>1849</v>
      </c>
      <c r="GK6" s="267" t="s">
        <v>1962</v>
      </c>
      <c r="GL6" s="267" t="s">
        <v>1962</v>
      </c>
      <c r="GM6" s="267" t="s">
        <v>1962</v>
      </c>
      <c r="GN6" s="267" t="s">
        <v>1962</v>
      </c>
      <c r="GO6" s="267" t="s">
        <v>1962</v>
      </c>
      <c r="GP6" s="267" t="s">
        <v>1964</v>
      </c>
      <c r="GQ6" s="267" t="s">
        <v>1964</v>
      </c>
      <c r="GR6" s="267" t="s">
        <v>1964</v>
      </c>
      <c r="GS6" s="267" t="s">
        <v>1964</v>
      </c>
      <c r="GT6" s="401" t="s">
        <v>1962</v>
      </c>
      <c r="GU6" s="401" t="s">
        <v>1962</v>
      </c>
      <c r="GV6" s="401" t="s">
        <v>1962</v>
      </c>
      <c r="GW6" s="401" t="s">
        <v>1962</v>
      </c>
      <c r="GX6" s="376" t="s">
        <v>1365</v>
      </c>
      <c r="GY6" s="376" t="s">
        <v>1365</v>
      </c>
      <c r="GZ6" s="376" t="s">
        <v>1365</v>
      </c>
      <c r="HA6" s="376" t="s">
        <v>1365</v>
      </c>
      <c r="HB6" s="376" t="s">
        <v>1365</v>
      </c>
      <c r="HC6" s="376" t="s">
        <v>1365</v>
      </c>
      <c r="HD6" s="376" t="s">
        <v>1365</v>
      </c>
      <c r="HE6" s="376" t="s">
        <v>1365</v>
      </c>
      <c r="HF6" s="639" t="s">
        <v>1852</v>
      </c>
      <c r="HG6" s="376" t="s">
        <v>1365</v>
      </c>
      <c r="HH6" s="376" t="s">
        <v>1365</v>
      </c>
      <c r="HI6" s="376" t="s">
        <v>1365</v>
      </c>
      <c r="HJ6" s="376" t="s">
        <v>1365</v>
      </c>
      <c r="HK6" s="401" t="s">
        <v>1962</v>
      </c>
      <c r="HL6" s="401" t="s">
        <v>1962</v>
      </c>
      <c r="HM6" s="401" t="s">
        <v>1962</v>
      </c>
      <c r="HN6" s="401" t="s">
        <v>1962</v>
      </c>
      <c r="HO6" s="401" t="s">
        <v>1962</v>
      </c>
      <c r="HP6" s="401" t="s">
        <v>1962</v>
      </c>
      <c r="HQ6" s="401" t="s">
        <v>1962</v>
      </c>
      <c r="HR6" s="676" t="s">
        <v>1962</v>
      </c>
      <c r="HS6" s="679" t="s">
        <v>1965</v>
      </c>
      <c r="HT6" s="675" t="s">
        <v>1966</v>
      </c>
      <c r="HU6" s="675" t="s">
        <v>1966</v>
      </c>
      <c r="HV6" s="675" t="s">
        <v>1966</v>
      </c>
      <c r="HW6" s="665" t="s">
        <v>1967</v>
      </c>
      <c r="HX6" s="665" t="s">
        <v>1967</v>
      </c>
      <c r="HY6" s="665" t="s">
        <v>1967</v>
      </c>
      <c r="HZ6" s="694" t="s">
        <v>1968</v>
      </c>
      <c r="IA6" s="694" t="s">
        <v>1968</v>
      </c>
      <c r="IB6" s="694" t="s">
        <v>1968</v>
      </c>
      <c r="IC6" s="694" t="s">
        <v>1968</v>
      </c>
      <c r="ID6" s="694" t="s">
        <v>1968</v>
      </c>
      <c r="IE6" s="694" t="s">
        <v>1968</v>
      </c>
      <c r="IF6" s="694" t="s">
        <v>1969</v>
      </c>
      <c r="IG6" s="694" t="s">
        <v>1969</v>
      </c>
      <c r="IH6" s="694" t="s">
        <v>1969</v>
      </c>
      <c r="II6" s="694" t="s">
        <v>1969</v>
      </c>
      <c r="IJ6" s="694" t="s">
        <v>1969</v>
      </c>
      <c r="IK6" s="694" t="s">
        <v>1969</v>
      </c>
      <c r="IL6" s="694" t="s">
        <v>1969</v>
      </c>
      <c r="IM6" s="694" t="s">
        <v>1969</v>
      </c>
      <c r="IN6" s="694" t="s">
        <v>1969</v>
      </c>
      <c r="IO6" s="694" t="s">
        <v>1969</v>
      </c>
      <c r="IP6" s="694" t="s">
        <v>1969</v>
      </c>
      <c r="IQ6" s="694" t="s">
        <v>1969</v>
      </c>
      <c r="IR6" s="694" t="s">
        <v>1969</v>
      </c>
      <c r="IS6" s="694" t="s">
        <v>1969</v>
      </c>
      <c r="IT6" s="694" t="s">
        <v>1969</v>
      </c>
      <c r="IU6" s="732" t="s">
        <v>1970</v>
      </c>
      <c r="IV6" s="731" t="s">
        <v>1971</v>
      </c>
      <c r="IW6" s="732" t="s">
        <v>1970</v>
      </c>
      <c r="IX6" s="732" t="s">
        <v>1970</v>
      </c>
      <c r="IY6" s="732" t="s">
        <v>1970</v>
      </c>
      <c r="IZ6" s="732" t="s">
        <v>1970</v>
      </c>
      <c r="JA6" s="733" t="s">
        <v>1972</v>
      </c>
      <c r="JB6" s="365" t="s">
        <v>815</v>
      </c>
      <c r="JC6" s="365" t="s">
        <v>815</v>
      </c>
      <c r="JD6" s="734" t="s">
        <v>1973</v>
      </c>
      <c r="JE6" s="657" t="s">
        <v>193</v>
      </c>
      <c r="JF6" s="657" t="s">
        <v>193</v>
      </c>
      <c r="JG6" s="673" t="s">
        <v>1974</v>
      </c>
      <c r="JH6" s="777" t="s">
        <v>1975</v>
      </c>
      <c r="JI6" s="673" t="s">
        <v>1974</v>
      </c>
      <c r="JJ6" s="378" t="s">
        <v>787</v>
      </c>
      <c r="JK6" s="665" t="s">
        <v>928</v>
      </c>
      <c r="JL6" s="665" t="s">
        <v>928</v>
      </c>
      <c r="JM6" s="665" t="s">
        <v>928</v>
      </c>
      <c r="JN6" s="665" t="s">
        <v>928</v>
      </c>
      <c r="JO6" s="665" t="s">
        <v>928</v>
      </c>
      <c r="JP6" s="665" t="s">
        <v>928</v>
      </c>
      <c r="JQ6" s="665" t="s">
        <v>928</v>
      </c>
      <c r="JR6" s="665" t="s">
        <v>928</v>
      </c>
      <c r="JS6" s="792" t="s">
        <v>928</v>
      </c>
      <c r="JT6" s="142" t="s">
        <v>1976</v>
      </c>
      <c r="JU6" s="142" t="s">
        <v>1976</v>
      </c>
      <c r="JV6" s="793" t="s">
        <v>1977</v>
      </c>
      <c r="JW6" s="665" t="s">
        <v>1978</v>
      </c>
      <c r="JX6" s="665" t="s">
        <v>1978</v>
      </c>
      <c r="JY6" s="665" t="s">
        <v>1978</v>
      </c>
      <c r="JZ6" s="665" t="s">
        <v>1978</v>
      </c>
      <c r="KA6" s="665" t="s">
        <v>1978</v>
      </c>
      <c r="KB6" s="665" t="s">
        <v>1979</v>
      </c>
      <c r="KC6" s="665" t="s">
        <v>1979</v>
      </c>
      <c r="KD6" s="665" t="s">
        <v>1980</v>
      </c>
      <c r="KE6" s="665" t="s">
        <v>1980</v>
      </c>
      <c r="KF6" s="665" t="s">
        <v>1979</v>
      </c>
      <c r="KG6" s="665" t="s">
        <v>1979</v>
      </c>
      <c r="KH6" s="665" t="s">
        <v>1979</v>
      </c>
      <c r="KI6" s="665" t="s">
        <v>1979</v>
      </c>
      <c r="KJ6" s="665" t="s">
        <v>1979</v>
      </c>
      <c r="KK6" s="665" t="s">
        <v>1979</v>
      </c>
      <c r="KL6" s="712" t="s">
        <v>1981</v>
      </c>
      <c r="KM6" s="712" t="s">
        <v>1981</v>
      </c>
      <c r="KN6" s="712" t="s">
        <v>1981</v>
      </c>
      <c r="KO6" s="712" t="s">
        <v>1981</v>
      </c>
      <c r="KP6" s="712" t="s">
        <v>1981</v>
      </c>
      <c r="KQ6" s="712" t="s">
        <v>1981</v>
      </c>
      <c r="KR6" s="712" t="s">
        <v>1981</v>
      </c>
      <c r="KS6" s="712" t="s">
        <v>1981</v>
      </c>
      <c r="KT6" s="665" t="s">
        <v>1982</v>
      </c>
      <c r="KU6" s="665" t="s">
        <v>1982</v>
      </c>
      <c r="KV6" s="665" t="s">
        <v>1982</v>
      </c>
      <c r="KW6" s="665" t="s">
        <v>1982</v>
      </c>
      <c r="KX6" s="665" t="s">
        <v>1982</v>
      </c>
      <c r="KY6" s="665" t="s">
        <v>1982</v>
      </c>
      <c r="KZ6" s="142"/>
      <c r="LA6" s="142"/>
      <c r="LB6" s="142"/>
    </row>
    <row r="7" spans="1:333" ht="15.75">
      <c r="DQ7" s="135" t="s">
        <v>1983</v>
      </c>
      <c r="DR7" s="142" t="s">
        <v>1984</v>
      </c>
      <c r="DS7" s="797" t="s">
        <v>1985</v>
      </c>
      <c r="DT7" s="797"/>
      <c r="DU7" s="797"/>
      <c r="DV7" s="797"/>
      <c r="DW7" s="797"/>
      <c r="DX7" s="798"/>
      <c r="DZ7" s="799" t="s">
        <v>1986</v>
      </c>
      <c r="EA7" s="797"/>
      <c r="EB7" s="797"/>
      <c r="EC7" s="800"/>
      <c r="ED7" s="278" t="s">
        <v>1987</v>
      </c>
      <c r="EE7" s="278" t="s">
        <v>1987</v>
      </c>
      <c r="EF7" s="278" t="s">
        <v>1987</v>
      </c>
      <c r="FZ7" s="374"/>
      <c r="HK7" s="377"/>
      <c r="HL7" s="377"/>
      <c r="HM7" s="377"/>
    </row>
    <row r="11" spans="1:333" ht="15.75">
      <c r="IY11" s="739"/>
      <c r="JC11" s="740"/>
    </row>
    <row r="17" spans="276:277">
      <c r="JP17" s="750"/>
      <c r="JQ17" s="750"/>
    </row>
  </sheetData>
  <autoFilter ref="A2:BB6" xr:uid="{1CE8003C-4BF2-4E23-86CE-BE3BC7D8002A}"/>
  <mergeCells count="2">
    <mergeCell ref="DS7:DX7"/>
    <mergeCell ref="DZ7:EC7"/>
  </mergeCells>
  <conditionalFormatting sqref="B1:AX2">
    <cfRule type="containsText" dxfId="21" priority="15" operator="containsText" text="Jess">
      <formula>NOT(ISERROR(SEARCH("Jess",B1)))</formula>
    </cfRule>
  </conditionalFormatting>
  <conditionalFormatting sqref="CR1:LB1">
    <cfRule type="containsText" dxfId="20" priority="10" operator="containsText" text="Jess">
      <formula>NOT(ISERROR(SEARCH("Jess",CR1)))</formula>
    </cfRule>
  </conditionalFormatting>
  <conditionalFormatting sqref="CR2:CV2">
    <cfRule type="containsText" dxfId="19" priority="9" operator="containsText" text="Jess">
      <formula>NOT(ISERROR(SEARCH("Jess",CR2)))</formula>
    </cfRule>
  </conditionalFormatting>
  <conditionalFormatting sqref="CW2:DA2">
    <cfRule type="containsText" dxfId="18" priority="8" operator="containsText" text="Jess">
      <formula>NOT(ISERROR(SEARCH("Jess",CW2)))</formula>
    </cfRule>
  </conditionalFormatting>
  <conditionalFormatting sqref="DB2:DF2">
    <cfRule type="containsText" dxfId="17" priority="7" operator="containsText" text="Jess">
      <formula>NOT(ISERROR(SEARCH("Jess",DB2)))</formula>
    </cfRule>
  </conditionalFormatting>
  <conditionalFormatting sqref="DG2:DK2">
    <cfRule type="containsText" dxfId="16" priority="6" operator="containsText" text="Jess">
      <formula>NOT(ISERROR(SEARCH("Jess",DG2)))</formula>
    </cfRule>
  </conditionalFormatting>
  <conditionalFormatting sqref="DL2:DP2">
    <cfRule type="containsText" dxfId="15" priority="5" operator="containsText" text="Jess">
      <formula>NOT(ISERROR(SEARCH("Jess",DL2)))</formula>
    </cfRule>
  </conditionalFormatting>
  <conditionalFormatting sqref="DQ2:DU2">
    <cfRule type="containsText" dxfId="14" priority="4" operator="containsText" text="Jess">
      <formula>NOT(ISERROR(SEARCH("Jess",DQ2)))</formula>
    </cfRule>
  </conditionalFormatting>
  <conditionalFormatting sqref="DV2:DZ2">
    <cfRule type="containsText" dxfId="13" priority="3" operator="containsText" text="Jess">
      <formula>NOT(ISERROR(SEARCH("Jess",DV2)))</formula>
    </cfRule>
  </conditionalFormatting>
  <conditionalFormatting sqref="EA2:EE2">
    <cfRule type="containsText" dxfId="12" priority="2" operator="containsText" text="Jess">
      <formula>NOT(ISERROR(SEARCH("Jess",EA2)))</formula>
    </cfRule>
  </conditionalFormatting>
  <conditionalFormatting sqref="EF2:LB2">
    <cfRule type="containsText" dxfId="11" priority="1" operator="containsText" text="Jess">
      <formula>NOT(ISERROR(SEARCH("Jess",EF2)))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E07A-C667-5D47-B3F2-355B35062EF9}">
  <dimension ref="A1:LW9"/>
  <sheetViews>
    <sheetView topLeftCell="JG1" zoomScale="110" zoomScaleNormal="110" workbookViewId="0">
      <selection activeCell="JT6" sqref="JT6"/>
    </sheetView>
  </sheetViews>
  <sheetFormatPr defaultColWidth="9" defaultRowHeight="15"/>
  <cols>
    <col min="1" max="1" width="8.5" style="66" customWidth="1"/>
    <col min="2" max="23" width="14.375" style="66" customWidth="1"/>
    <col min="24" max="41" width="12.875" style="66" customWidth="1"/>
    <col min="42" max="43" width="10.875" style="66" customWidth="1"/>
    <col min="44" max="86" width="12.875" style="66" customWidth="1"/>
    <col min="87" max="90" width="12.625" style="66" customWidth="1"/>
    <col min="91" max="91" width="10.125" style="66" customWidth="1"/>
    <col min="92" max="92" width="8.125" style="66" customWidth="1"/>
    <col min="93" max="93" width="5.75" style="66" customWidth="1"/>
    <col min="94" max="94" width="7.125" style="66" customWidth="1"/>
    <col min="95" max="95" width="7.375" style="66" customWidth="1"/>
    <col min="96" max="96" width="10.125" style="66" customWidth="1"/>
    <col min="97" max="97" width="8.125" style="66" customWidth="1"/>
    <col min="98" max="98" width="5.75" style="66" customWidth="1"/>
    <col min="99" max="99" width="13.25" style="66" customWidth="1"/>
    <col min="100" max="100" width="7.375" style="66" customWidth="1"/>
    <col min="101" max="101" width="10.125" style="66" customWidth="1"/>
    <col min="102" max="102" width="8.125" style="66" customWidth="1"/>
    <col min="103" max="103" width="5.75" style="66" customWidth="1"/>
    <col min="104" max="104" width="7.125" style="66" customWidth="1"/>
    <col min="105" max="105" width="22.625" style="66" customWidth="1"/>
    <col min="106" max="106" width="14.625" style="66" customWidth="1"/>
    <col min="107" max="107" width="9.5" style="66" customWidth="1"/>
    <col min="108" max="108" width="5.75" style="66" customWidth="1"/>
    <col min="109" max="120" width="12.625" style="66" customWidth="1"/>
    <col min="121" max="121" width="10.125" style="66" bestFit="1" customWidth="1"/>
    <col min="122" max="122" width="8.125" style="66" bestFit="1" customWidth="1"/>
    <col min="123" max="123" width="5.375" style="66" customWidth="1"/>
    <col min="124" max="124" width="5.5" style="66" customWidth="1"/>
    <col min="125" max="125" width="7.375" style="66" bestFit="1" customWidth="1"/>
    <col min="126" max="126" width="25.75" style="66" customWidth="1"/>
    <col min="127" max="127" width="8.125" style="66" bestFit="1" customWidth="1"/>
    <col min="128" max="128" width="11.75" style="66" customWidth="1"/>
    <col min="129" max="131" width="11.25" style="66" bestFit="1" customWidth="1"/>
    <col min="132" max="132" width="8.125" style="66" bestFit="1" customWidth="1"/>
    <col min="133" max="133" width="5.75" style="66" bestFit="1" customWidth="1"/>
    <col min="134" max="134" width="7.25" style="66" customWidth="1"/>
    <col min="135" max="135" width="14.875" style="66" customWidth="1"/>
    <col min="136" max="136" width="12.375" style="66" customWidth="1"/>
    <col min="137" max="137" width="11.75" style="66" customWidth="1"/>
    <col min="138" max="138" width="12.25" style="66" customWidth="1"/>
    <col min="139" max="139" width="7.875" style="66" customWidth="1"/>
    <col min="140" max="140" width="8.375" style="66" customWidth="1"/>
    <col min="141" max="141" width="4.125" style="66" customWidth="1"/>
    <col min="142" max="142" width="8.125" style="66" bestFit="1" customWidth="1"/>
    <col min="143" max="143" width="5.75" style="66" bestFit="1" customWidth="1"/>
    <col min="144" max="144" width="7.125" style="66" bestFit="1" customWidth="1"/>
    <col min="145" max="145" width="7.375" style="66" bestFit="1" customWidth="1"/>
    <col min="146" max="146" width="10.125" style="66" bestFit="1" customWidth="1"/>
    <col min="147" max="147" width="8.125" style="66" bestFit="1" customWidth="1"/>
    <col min="148" max="148" width="5.75" style="66" bestFit="1" customWidth="1"/>
    <col min="149" max="149" width="7.125" style="66" bestFit="1" customWidth="1"/>
    <col min="150" max="150" width="11.75" style="66" bestFit="1" customWidth="1"/>
    <col min="151" max="151" width="10.125" style="66" bestFit="1" customWidth="1"/>
    <col min="152" max="152" width="8.125" style="66" bestFit="1" customWidth="1"/>
    <col min="153" max="153" width="13.25" style="66" customWidth="1"/>
    <col min="154" max="154" width="18.25" style="66" customWidth="1"/>
    <col min="155" max="157" width="12.625" style="66" customWidth="1"/>
    <col min="158" max="158" width="15.375" style="66" bestFit="1" customWidth="1"/>
    <col min="159" max="244" width="12.625" style="66" customWidth="1"/>
    <col min="245" max="262" width="9" style="66"/>
    <col min="263" max="263" width="9.875" style="66" bestFit="1" customWidth="1"/>
    <col min="264" max="16384" width="9" style="66"/>
  </cols>
  <sheetData>
    <row r="1" spans="1:335">
      <c r="B1" s="67">
        <v>45810</v>
      </c>
      <c r="C1" s="67">
        <f t="shared" ref="C1:AF1" si="0">WORKDAY(B1,5)</f>
        <v>45817</v>
      </c>
      <c r="D1" s="67">
        <f t="shared" si="0"/>
        <v>45824</v>
      </c>
      <c r="E1" s="67">
        <f t="shared" si="0"/>
        <v>45831</v>
      </c>
      <c r="F1" s="67">
        <f t="shared" si="0"/>
        <v>45838</v>
      </c>
      <c r="G1" s="67">
        <f t="shared" si="0"/>
        <v>45845</v>
      </c>
      <c r="H1" s="67">
        <f t="shared" si="0"/>
        <v>45852</v>
      </c>
      <c r="I1" s="68">
        <f t="shared" si="0"/>
        <v>45859</v>
      </c>
      <c r="J1" s="67">
        <f t="shared" si="0"/>
        <v>45866</v>
      </c>
      <c r="K1" s="67">
        <f t="shared" si="0"/>
        <v>45873</v>
      </c>
      <c r="L1" s="67">
        <f t="shared" si="0"/>
        <v>45880</v>
      </c>
      <c r="M1" s="67">
        <f t="shared" si="0"/>
        <v>45887</v>
      </c>
      <c r="N1" s="67">
        <f t="shared" si="0"/>
        <v>45894</v>
      </c>
      <c r="O1" s="67">
        <f t="shared" si="0"/>
        <v>45901</v>
      </c>
      <c r="P1" s="67">
        <f t="shared" si="0"/>
        <v>45908</v>
      </c>
      <c r="Q1" s="67">
        <f t="shared" si="0"/>
        <v>45915</v>
      </c>
      <c r="R1" s="67">
        <f t="shared" si="0"/>
        <v>45922</v>
      </c>
      <c r="S1" s="67">
        <f t="shared" si="0"/>
        <v>45929</v>
      </c>
      <c r="T1" s="67">
        <f t="shared" si="0"/>
        <v>45936</v>
      </c>
      <c r="U1" s="67">
        <f t="shared" si="0"/>
        <v>45943</v>
      </c>
      <c r="V1" s="67">
        <f t="shared" si="0"/>
        <v>45950</v>
      </c>
      <c r="W1" s="67">
        <f t="shared" si="0"/>
        <v>45957</v>
      </c>
      <c r="X1" s="69">
        <v>45964</v>
      </c>
      <c r="Y1" s="69">
        <f>WORKDAY(X1,1)</f>
        <v>45965</v>
      </c>
      <c r="Z1" s="69">
        <f>WORKDAY(Y1,1)</f>
        <v>45966</v>
      </c>
      <c r="AA1" s="69">
        <f>WORKDAY(Z1,1)</f>
        <v>45967</v>
      </c>
      <c r="AB1" s="69">
        <f>WORKDAY(AA1,1)</f>
        <v>45968</v>
      </c>
      <c r="AC1" s="69">
        <f>WORKDAY(AB1,1)</f>
        <v>45971</v>
      </c>
      <c r="AD1" s="69">
        <f>WORKDAY(AC1,1)</f>
        <v>45972</v>
      </c>
      <c r="AE1" s="69">
        <f>WORKDAY(AD1,1)</f>
        <v>45973</v>
      </c>
      <c r="AF1" s="69">
        <f>WORKDAY(AE1,1)</f>
        <v>45974</v>
      </c>
      <c r="AG1" s="69">
        <f>WORKDAY(AF1,1)</f>
        <v>45975</v>
      </c>
      <c r="AH1" s="69">
        <f>WORKDAY(AG1,1)</f>
        <v>45978</v>
      </c>
      <c r="AI1" s="69">
        <f>WORKDAY(AH1,1)</f>
        <v>45979</v>
      </c>
      <c r="AJ1" s="69">
        <f>WORKDAY(AI1,1)</f>
        <v>45980</v>
      </c>
      <c r="AK1" s="69">
        <f>WORKDAY(AJ1,1)</f>
        <v>45981</v>
      </c>
      <c r="AL1" s="69">
        <f>WORKDAY(AK1,1)</f>
        <v>45982</v>
      </c>
      <c r="AM1" s="69">
        <f>WORKDAY(AL1,1)</f>
        <v>45985</v>
      </c>
      <c r="AN1" s="69">
        <f>WORKDAY(AM1,1)</f>
        <v>45986</v>
      </c>
      <c r="AO1" s="69">
        <f>WORKDAY(AN1,1)</f>
        <v>45987</v>
      </c>
      <c r="AP1" s="69">
        <f>WORKDAY(AO1,1)</f>
        <v>45988</v>
      </c>
      <c r="AQ1" s="69">
        <f>WORKDAY(AP1,1)</f>
        <v>45989</v>
      </c>
      <c r="AR1" s="69">
        <f>WORKDAY(AQ1,1)</f>
        <v>45992</v>
      </c>
      <c r="AS1" s="69">
        <f>WORKDAY(AR1,1)</f>
        <v>45993</v>
      </c>
      <c r="AT1" s="69">
        <f>WORKDAY(AS1,1)</f>
        <v>45994</v>
      </c>
      <c r="AU1" s="69">
        <f>WORKDAY(AT1,1)</f>
        <v>45995</v>
      </c>
      <c r="AV1" s="69">
        <f>WORKDAY(AU1,1)</f>
        <v>45996</v>
      </c>
      <c r="AW1" s="69">
        <f>WORKDAY(AV1,1)</f>
        <v>45999</v>
      </c>
      <c r="AX1" s="69">
        <f>WORKDAY(AW1,1)</f>
        <v>46000</v>
      </c>
      <c r="AY1" s="69">
        <f>WORKDAY(AX1,1)</f>
        <v>46001</v>
      </c>
      <c r="AZ1" s="69">
        <f>WORKDAY(AY1,1)</f>
        <v>46002</v>
      </c>
      <c r="BA1" s="69">
        <f>WORKDAY(AZ1,1)</f>
        <v>46003</v>
      </c>
      <c r="BB1" s="69">
        <f>WORKDAY(BA1,1)</f>
        <v>46006</v>
      </c>
      <c r="BC1" s="69">
        <f>WORKDAY(BB1,1)</f>
        <v>46007</v>
      </c>
      <c r="BD1" s="69">
        <f>WORKDAY(BC1,1)</f>
        <v>46008</v>
      </c>
      <c r="BE1" s="69">
        <f>WORKDAY(BD1,1)</f>
        <v>46009</v>
      </c>
      <c r="BF1" s="69">
        <f>WORKDAY(BE1,1)</f>
        <v>46010</v>
      </c>
      <c r="BG1" s="69">
        <f>WORKDAY(BF1,1)</f>
        <v>46013</v>
      </c>
      <c r="BH1" s="69">
        <f>WORKDAY(BG1,1)</f>
        <v>46014</v>
      </c>
      <c r="BI1" s="69">
        <f>WORKDAY(BH1,1)</f>
        <v>46015</v>
      </c>
      <c r="BJ1" s="69">
        <f>WORKDAY(BI1,1)</f>
        <v>46016</v>
      </c>
      <c r="BK1" s="69">
        <f>WORKDAY(BJ1,1)</f>
        <v>46017</v>
      </c>
      <c r="BL1" s="69">
        <f>WORKDAY(BK1,1)</f>
        <v>46020</v>
      </c>
      <c r="BM1" s="69">
        <f>WORKDAY(BL1,1)</f>
        <v>46021</v>
      </c>
      <c r="BN1" s="69">
        <f>WORKDAY(BM1,1)</f>
        <v>46022</v>
      </c>
      <c r="BO1" s="69">
        <f>WORKDAY(BN1,1)</f>
        <v>46023</v>
      </c>
      <c r="BP1" s="69">
        <f>WORKDAY(BO1,1)</f>
        <v>46024</v>
      </c>
      <c r="BQ1" s="69">
        <f>WORKDAY(BP1,1)</f>
        <v>46027</v>
      </c>
      <c r="BR1" s="69">
        <f>WORKDAY(BQ1,1)</f>
        <v>46028</v>
      </c>
      <c r="BS1" s="69">
        <f>WORKDAY(BR1,1)</f>
        <v>46029</v>
      </c>
      <c r="BT1" s="69">
        <f>WORKDAY(BS1,1)</f>
        <v>46030</v>
      </c>
      <c r="BU1" s="69">
        <f>WORKDAY(BT1,1)</f>
        <v>46031</v>
      </c>
      <c r="BV1" s="69">
        <f>WORKDAY(BU1,1)</f>
        <v>46034</v>
      </c>
      <c r="BW1" s="69">
        <f>WORKDAY(BV1,1)</f>
        <v>46035</v>
      </c>
      <c r="BX1" s="69">
        <f>WORKDAY(BW1,1)</f>
        <v>46036</v>
      </c>
      <c r="BY1" s="69">
        <f>WORKDAY(BX1,1)</f>
        <v>46037</v>
      </c>
      <c r="BZ1" s="69">
        <f>WORKDAY(BY1,1)</f>
        <v>46038</v>
      </c>
      <c r="CA1" s="69">
        <f>WORKDAY(BZ1,1)</f>
        <v>46041</v>
      </c>
      <c r="CB1" s="69">
        <f>WORKDAY(CA1,1)</f>
        <v>46042</v>
      </c>
      <c r="CC1" s="69">
        <f>WORKDAY(CB1,1)</f>
        <v>46043</v>
      </c>
      <c r="CD1" s="69">
        <f>WORKDAY(CC1,1)</f>
        <v>46044</v>
      </c>
      <c r="CE1" s="69">
        <f>WORKDAY(CD1,1)</f>
        <v>46045</v>
      </c>
      <c r="CF1" s="69">
        <f>WORKDAY(CE1,1)</f>
        <v>46048</v>
      </c>
      <c r="CG1" s="69">
        <f>WORKDAY(CF1,1)</f>
        <v>46049</v>
      </c>
      <c r="CH1" s="69">
        <f>WORKDAY(CG1,1)</f>
        <v>46050</v>
      </c>
      <c r="CI1" s="69">
        <f>WORKDAY(CH1,1)</f>
        <v>46051</v>
      </c>
      <c r="CJ1" s="69">
        <f>WORKDAY(CI1,1)</f>
        <v>46052</v>
      </c>
      <c r="CK1" s="9">
        <f>WORKDAY(CJ1,1)</f>
        <v>46055</v>
      </c>
      <c r="CL1" s="9">
        <f>WORKDAY(CK1,1)</f>
        <v>46056</v>
      </c>
      <c r="CM1" s="9">
        <f>WORKDAY(CL1,1)</f>
        <v>46057</v>
      </c>
      <c r="CN1" s="9">
        <f>WORKDAY(CM1,1)</f>
        <v>46058</v>
      </c>
      <c r="CO1" s="9">
        <f>WORKDAY(CN1,1)</f>
        <v>46059</v>
      </c>
      <c r="CP1" s="9">
        <f>WORKDAY(CO1,1)</f>
        <v>46062</v>
      </c>
      <c r="CQ1" s="9">
        <f>WORKDAY(CP1,1)</f>
        <v>46063</v>
      </c>
      <c r="CR1" s="9">
        <f>WORKDAY(CQ1,1)</f>
        <v>46064</v>
      </c>
      <c r="CS1" s="9">
        <f>WORKDAY(CR1,1)</f>
        <v>46065</v>
      </c>
      <c r="CT1" s="9">
        <f>WORKDAY(CS1,1)</f>
        <v>46066</v>
      </c>
      <c r="CU1" s="9">
        <f>WORKDAY(CT1,1)</f>
        <v>46069</v>
      </c>
      <c r="CV1" s="9">
        <f>WORKDAY(CU1,1)</f>
        <v>46070</v>
      </c>
      <c r="CW1" s="9">
        <f>WORKDAY(CV1,1)</f>
        <v>46071</v>
      </c>
      <c r="CX1" s="9">
        <f>WORKDAY(CW1,1)</f>
        <v>46072</v>
      </c>
      <c r="CY1" s="9">
        <f>WORKDAY(CX1,1)</f>
        <v>46073</v>
      </c>
      <c r="CZ1" s="9">
        <f>WORKDAY(CY1,1)</f>
        <v>46076</v>
      </c>
      <c r="DA1" s="9">
        <f>WORKDAY(CZ1,1)</f>
        <v>46077</v>
      </c>
      <c r="DB1" s="9">
        <f>WORKDAY(DA1,1)</f>
        <v>46078</v>
      </c>
      <c r="DC1" s="9">
        <f>WORKDAY(DB1,1)</f>
        <v>46079</v>
      </c>
      <c r="DD1" s="9">
        <f>WORKDAY(DC1,1)</f>
        <v>46080</v>
      </c>
      <c r="DE1" s="9">
        <f>WORKDAY(DD1,1)</f>
        <v>46083</v>
      </c>
      <c r="DF1" s="9">
        <f>WORKDAY(DE1,1)</f>
        <v>46084</v>
      </c>
      <c r="DG1" s="9">
        <f>WORKDAY(DF1,1)</f>
        <v>46085</v>
      </c>
      <c r="DH1" s="9">
        <f>WORKDAY(DG1,1)</f>
        <v>46086</v>
      </c>
      <c r="DI1" s="9">
        <f>WORKDAY(DH1,1)</f>
        <v>46087</v>
      </c>
      <c r="DJ1" s="9">
        <f>WORKDAY(DI1,1)</f>
        <v>46090</v>
      </c>
      <c r="DK1" s="9">
        <f>WORKDAY(DJ1,1)</f>
        <v>46091</v>
      </c>
      <c r="DL1" s="9">
        <f>WORKDAY(DK1,1)</f>
        <v>46092</v>
      </c>
      <c r="DM1" s="9">
        <f>WORKDAY(DL1,1)</f>
        <v>46093</v>
      </c>
      <c r="DN1" s="9">
        <f>WORKDAY(DM1,1)</f>
        <v>46094</v>
      </c>
      <c r="DO1" s="9">
        <f>WORKDAY(DN1,1)</f>
        <v>46097</v>
      </c>
      <c r="DP1" s="9">
        <f>WORKDAY(DO1,1)</f>
        <v>46098</v>
      </c>
      <c r="DQ1" s="9">
        <f>WORKDAY(DP1,1)</f>
        <v>46099</v>
      </c>
      <c r="DR1" s="9">
        <f>WORKDAY(DQ1,1)</f>
        <v>46100</v>
      </c>
      <c r="DS1" s="9">
        <f>WORKDAY(DR1,1)</f>
        <v>46101</v>
      </c>
      <c r="DT1" s="9">
        <f>WORKDAY(DS1,1)</f>
        <v>46104</v>
      </c>
      <c r="DU1" s="9">
        <f>WORKDAY(DT1,1)</f>
        <v>46105</v>
      </c>
      <c r="DV1" s="9">
        <f>WORKDAY(DU1,1)</f>
        <v>46106</v>
      </c>
      <c r="DW1" s="9">
        <f>WORKDAY(DV1,1)</f>
        <v>46107</v>
      </c>
      <c r="DX1" s="9">
        <f>WORKDAY(DW1,1)</f>
        <v>46108</v>
      </c>
      <c r="DY1" s="9">
        <f>WORKDAY(DX1,1)</f>
        <v>46111</v>
      </c>
      <c r="DZ1" s="9">
        <f>WORKDAY(DY1,1)</f>
        <v>46112</v>
      </c>
      <c r="EA1" s="9">
        <f>WORKDAY(DZ1,1)</f>
        <v>46113</v>
      </c>
      <c r="EB1" s="9">
        <f>WORKDAY(EA1,1)</f>
        <v>46114</v>
      </c>
      <c r="EC1" s="9">
        <f>WORKDAY(EB1,1)</f>
        <v>46115</v>
      </c>
      <c r="ED1" s="9">
        <f>WORKDAY(EC1,1)</f>
        <v>46118</v>
      </c>
      <c r="EE1" s="9">
        <f>WORKDAY(ED1,1)</f>
        <v>46119</v>
      </c>
      <c r="EF1" s="9">
        <f>WORKDAY(EE1,1)</f>
        <v>46120</v>
      </c>
      <c r="EG1" s="9">
        <f>WORKDAY(EF1,1)</f>
        <v>46121</v>
      </c>
      <c r="EH1" s="9">
        <f>WORKDAY(EG1,1)</f>
        <v>46122</v>
      </c>
      <c r="EI1" s="9">
        <f t="shared" ref="EI1:FQ1" si="1">WORKDAY(EH1,1)</f>
        <v>46125</v>
      </c>
      <c r="EJ1" s="9">
        <f t="shared" si="1"/>
        <v>46126</v>
      </c>
      <c r="EK1" s="9">
        <f t="shared" si="1"/>
        <v>46127</v>
      </c>
      <c r="EL1" s="9">
        <f t="shared" si="1"/>
        <v>46128</v>
      </c>
      <c r="EM1" s="9">
        <f t="shared" si="1"/>
        <v>46129</v>
      </c>
      <c r="EN1" s="9">
        <f t="shared" si="1"/>
        <v>46132</v>
      </c>
      <c r="EO1" s="9">
        <f t="shared" si="1"/>
        <v>46133</v>
      </c>
      <c r="EP1" s="9">
        <f t="shared" si="1"/>
        <v>46134</v>
      </c>
      <c r="EQ1" s="9">
        <f t="shared" si="1"/>
        <v>46135</v>
      </c>
      <c r="ER1" s="9">
        <f t="shared" si="1"/>
        <v>46136</v>
      </c>
      <c r="ES1" s="9">
        <f t="shared" si="1"/>
        <v>46139</v>
      </c>
      <c r="ET1" s="9">
        <f t="shared" si="1"/>
        <v>46140</v>
      </c>
      <c r="EU1" s="9">
        <f t="shared" si="1"/>
        <v>46141</v>
      </c>
      <c r="EV1" s="9">
        <f t="shared" si="1"/>
        <v>46142</v>
      </c>
      <c r="EW1" s="9">
        <f t="shared" si="1"/>
        <v>46143</v>
      </c>
      <c r="EX1" s="9">
        <f t="shared" si="1"/>
        <v>46146</v>
      </c>
      <c r="EY1" s="9">
        <f t="shared" si="1"/>
        <v>46147</v>
      </c>
      <c r="EZ1" s="9">
        <f t="shared" si="1"/>
        <v>46148</v>
      </c>
      <c r="FA1" s="9">
        <f t="shared" si="1"/>
        <v>46149</v>
      </c>
      <c r="FB1" s="9">
        <f t="shared" si="1"/>
        <v>46150</v>
      </c>
      <c r="FC1" s="9">
        <f t="shared" si="1"/>
        <v>46153</v>
      </c>
      <c r="FD1" s="9">
        <f t="shared" si="1"/>
        <v>46154</v>
      </c>
      <c r="FE1" s="9">
        <f t="shared" si="1"/>
        <v>46155</v>
      </c>
      <c r="FF1" s="9">
        <f t="shared" si="1"/>
        <v>46156</v>
      </c>
      <c r="FG1" s="9">
        <f t="shared" si="1"/>
        <v>46157</v>
      </c>
      <c r="FH1" s="9">
        <f t="shared" si="1"/>
        <v>46160</v>
      </c>
      <c r="FI1" s="9">
        <f t="shared" si="1"/>
        <v>46161</v>
      </c>
      <c r="FJ1" s="9">
        <f t="shared" si="1"/>
        <v>46162</v>
      </c>
      <c r="FK1" s="9">
        <f t="shared" si="1"/>
        <v>46163</v>
      </c>
      <c r="FL1" s="9">
        <f t="shared" si="1"/>
        <v>46164</v>
      </c>
      <c r="FM1" s="9">
        <f t="shared" ref="FM1" si="2">WORKDAY(FL1,1)</f>
        <v>46167</v>
      </c>
      <c r="FN1" s="9">
        <f t="shared" ref="FN1" si="3">WORKDAY(FM1,1)</f>
        <v>46168</v>
      </c>
      <c r="FO1" s="9">
        <f t="shared" ref="FO1" si="4">WORKDAY(FN1,1)</f>
        <v>46169</v>
      </c>
      <c r="FP1" s="9">
        <f t="shared" ref="FP1" si="5">WORKDAY(FO1,1)</f>
        <v>46170</v>
      </c>
      <c r="FQ1" s="9">
        <f t="shared" ref="FQ1" si="6">WORKDAY(FP1,1)</f>
        <v>46171</v>
      </c>
      <c r="FR1" s="9">
        <f t="shared" ref="FR1" si="7">WORKDAY(FQ1,1)</f>
        <v>46174</v>
      </c>
      <c r="FS1" s="9">
        <f t="shared" ref="FS1" si="8">WORKDAY(FR1,1)</f>
        <v>46175</v>
      </c>
      <c r="FT1" s="9">
        <f t="shared" ref="FT1" si="9">WORKDAY(FS1,1)</f>
        <v>46176</v>
      </c>
      <c r="FU1" s="9">
        <f t="shared" ref="FU1" si="10">WORKDAY(FT1,1)</f>
        <v>46177</v>
      </c>
      <c r="FV1" s="9">
        <f t="shared" ref="FV1" si="11">WORKDAY(FU1,1)</f>
        <v>46178</v>
      </c>
      <c r="FW1" s="9">
        <f t="shared" ref="FW1" si="12">WORKDAY(FV1,1)</f>
        <v>46181</v>
      </c>
      <c r="FX1" s="9">
        <f t="shared" ref="FX1" si="13">WORKDAY(FW1,1)</f>
        <v>46182</v>
      </c>
      <c r="FY1" s="9">
        <f t="shared" ref="FY1" si="14">WORKDAY(FX1,1)</f>
        <v>46183</v>
      </c>
      <c r="FZ1" s="9">
        <f t="shared" ref="FZ1" si="15">WORKDAY(FY1,1)</f>
        <v>46184</v>
      </c>
      <c r="GA1" s="9">
        <f t="shared" ref="GA1" si="16">WORKDAY(FZ1,1)</f>
        <v>46185</v>
      </c>
      <c r="GB1" s="9">
        <f t="shared" ref="GB1" si="17">WORKDAY(GA1,1)</f>
        <v>46188</v>
      </c>
      <c r="GC1" s="9">
        <f t="shared" ref="GC1" si="18">WORKDAY(GB1,1)</f>
        <v>46189</v>
      </c>
      <c r="GD1" s="9">
        <f t="shared" ref="GD1" si="19">WORKDAY(GC1,1)</f>
        <v>46190</v>
      </c>
      <c r="GE1" s="9">
        <f t="shared" ref="GE1" si="20">WORKDAY(GD1,1)</f>
        <v>46191</v>
      </c>
      <c r="GF1" s="9">
        <f t="shared" ref="GF1" si="21">WORKDAY(GE1,1)</f>
        <v>46192</v>
      </c>
      <c r="GG1" s="9">
        <f t="shared" ref="GG1" si="22">WORKDAY(GF1,1)</f>
        <v>46195</v>
      </c>
      <c r="GH1" s="9">
        <f t="shared" ref="GH1" si="23">WORKDAY(GG1,1)</f>
        <v>46196</v>
      </c>
      <c r="GI1" s="9">
        <f t="shared" ref="GI1" si="24">WORKDAY(GH1,1)</f>
        <v>46197</v>
      </c>
      <c r="GJ1" s="9">
        <f t="shared" ref="GJ1" si="25">WORKDAY(GI1,1)</f>
        <v>46198</v>
      </c>
      <c r="GK1" s="9">
        <f t="shared" ref="GK1" si="26">WORKDAY(GJ1,1)</f>
        <v>46199</v>
      </c>
      <c r="GL1" s="9">
        <f t="shared" ref="GL1" si="27">WORKDAY(GK1,1)</f>
        <v>46202</v>
      </c>
      <c r="GM1" s="9">
        <f t="shared" ref="GM1" si="28">WORKDAY(GL1,1)</f>
        <v>46203</v>
      </c>
      <c r="GN1" s="9">
        <f t="shared" ref="GN1" si="29">WORKDAY(GM1,1)</f>
        <v>46204</v>
      </c>
      <c r="GO1" s="9">
        <f t="shared" ref="GO1" si="30">WORKDAY(GN1,1)</f>
        <v>46205</v>
      </c>
      <c r="GP1" s="9">
        <f t="shared" ref="GP1" si="31">WORKDAY(GO1,1)</f>
        <v>46206</v>
      </c>
      <c r="GQ1" s="9">
        <f t="shared" ref="GQ1" si="32">WORKDAY(GP1,1)</f>
        <v>46209</v>
      </c>
      <c r="GR1" s="9">
        <f t="shared" ref="GR1" si="33">WORKDAY(GQ1,1)</f>
        <v>46210</v>
      </c>
      <c r="GS1" s="9">
        <f t="shared" ref="GS1" si="34">WORKDAY(GR1,1)</f>
        <v>46211</v>
      </c>
      <c r="GT1" s="9">
        <f t="shared" ref="GT1" si="35">WORKDAY(GS1,1)</f>
        <v>46212</v>
      </c>
      <c r="GU1" s="9">
        <f t="shared" ref="GU1" si="36">WORKDAY(GT1,1)</f>
        <v>46213</v>
      </c>
      <c r="GV1" s="9">
        <f t="shared" ref="GV1" si="37">WORKDAY(GU1,1)</f>
        <v>46216</v>
      </c>
      <c r="GW1" s="9">
        <f t="shared" ref="GW1" si="38">WORKDAY(GV1,1)</f>
        <v>46217</v>
      </c>
      <c r="GX1" s="9">
        <f t="shared" ref="GX1" si="39">WORKDAY(GW1,1)</f>
        <v>46218</v>
      </c>
      <c r="GY1" s="9">
        <f t="shared" ref="GY1" si="40">WORKDAY(GX1,1)</f>
        <v>46219</v>
      </c>
      <c r="GZ1" s="9">
        <f t="shared" ref="GZ1" si="41">WORKDAY(GY1,1)</f>
        <v>46220</v>
      </c>
      <c r="HA1" s="9">
        <f t="shared" ref="HA1" si="42">WORKDAY(GZ1,1)</f>
        <v>46223</v>
      </c>
      <c r="HB1" s="9">
        <f t="shared" ref="HB1" si="43">WORKDAY(HA1,1)</f>
        <v>46224</v>
      </c>
      <c r="HC1" s="9">
        <f t="shared" ref="HC1" si="44">WORKDAY(HB1,1)</f>
        <v>46225</v>
      </c>
      <c r="HD1" s="9">
        <f t="shared" ref="HD1" si="45">WORKDAY(HC1,1)</f>
        <v>46226</v>
      </c>
      <c r="HE1" s="9">
        <f t="shared" ref="HE1" si="46">WORKDAY(HD1,1)</f>
        <v>46227</v>
      </c>
      <c r="HF1" s="9">
        <f t="shared" ref="HF1" si="47">WORKDAY(HE1,1)</f>
        <v>46230</v>
      </c>
      <c r="HG1" s="9">
        <f t="shared" ref="HG1" si="48">WORKDAY(HF1,1)</f>
        <v>46231</v>
      </c>
      <c r="HH1" s="9">
        <f t="shared" ref="HH1" si="49">WORKDAY(HG1,1)</f>
        <v>46232</v>
      </c>
      <c r="HI1" s="9">
        <f t="shared" ref="HI1" si="50">WORKDAY(HH1,1)</f>
        <v>46233</v>
      </c>
      <c r="HJ1" s="9">
        <f t="shared" ref="HJ1" si="51">WORKDAY(HI1,1)</f>
        <v>46234</v>
      </c>
      <c r="HK1" s="9">
        <f t="shared" ref="HK1" si="52">WORKDAY(HJ1,1)</f>
        <v>46237</v>
      </c>
      <c r="HL1" s="9">
        <f t="shared" ref="HL1" si="53">WORKDAY(HK1,1)</f>
        <v>46238</v>
      </c>
      <c r="HM1" s="9">
        <f t="shared" ref="HM1" si="54">WORKDAY(HL1,1)</f>
        <v>46239</v>
      </c>
      <c r="HN1" s="9">
        <f t="shared" ref="HN1" si="55">WORKDAY(HM1,1)</f>
        <v>46240</v>
      </c>
      <c r="HO1" s="9">
        <f t="shared" ref="HO1" si="56">WORKDAY(HN1,1)</f>
        <v>46241</v>
      </c>
      <c r="HP1" s="9">
        <f t="shared" ref="HP1" si="57">WORKDAY(HO1,1)</f>
        <v>46244</v>
      </c>
      <c r="HQ1" s="9">
        <f t="shared" ref="HQ1" si="58">WORKDAY(HP1,1)</f>
        <v>46245</v>
      </c>
      <c r="HR1" s="9">
        <f t="shared" ref="HR1" si="59">WORKDAY(HQ1,1)</f>
        <v>46246</v>
      </c>
      <c r="HS1" s="9">
        <f t="shared" ref="HS1" si="60">WORKDAY(HR1,1)</f>
        <v>46247</v>
      </c>
      <c r="HT1" s="9">
        <f t="shared" ref="HT1" si="61">WORKDAY(HS1,1)</f>
        <v>46248</v>
      </c>
      <c r="HU1" s="9">
        <f t="shared" ref="HU1" si="62">WORKDAY(HT1,1)</f>
        <v>46251</v>
      </c>
      <c r="HV1" s="9">
        <f t="shared" ref="HV1" si="63">WORKDAY(HU1,1)</f>
        <v>46252</v>
      </c>
      <c r="HW1" s="9">
        <f t="shared" ref="HW1" si="64">WORKDAY(HV1,1)</f>
        <v>46253</v>
      </c>
      <c r="HX1" s="9">
        <f t="shared" ref="HX1" si="65">WORKDAY(HW1,1)</f>
        <v>46254</v>
      </c>
      <c r="HY1" s="9">
        <f t="shared" ref="HY1" si="66">WORKDAY(HX1,1)</f>
        <v>46255</v>
      </c>
      <c r="HZ1" s="9">
        <f t="shared" ref="HZ1" si="67">WORKDAY(HY1,1)</f>
        <v>46258</v>
      </c>
      <c r="IA1" s="9">
        <f t="shared" ref="IA1" si="68">WORKDAY(HZ1,1)</f>
        <v>46259</v>
      </c>
      <c r="IB1" s="9">
        <f t="shared" ref="IB1" si="69">WORKDAY(IA1,1)</f>
        <v>46260</v>
      </c>
      <c r="IC1" s="9">
        <f t="shared" ref="IC1" si="70">WORKDAY(IB1,1)</f>
        <v>46261</v>
      </c>
      <c r="ID1" s="9">
        <f t="shared" ref="ID1" si="71">WORKDAY(IC1,1)</f>
        <v>46262</v>
      </c>
      <c r="IE1" s="9">
        <f t="shared" ref="IE1" si="72">WORKDAY(ID1,1)</f>
        <v>46265</v>
      </c>
      <c r="IF1" s="9">
        <f t="shared" ref="IF1" si="73">WORKDAY(IE1,1)</f>
        <v>46266</v>
      </c>
      <c r="IG1" s="9">
        <f t="shared" ref="IG1" si="74">WORKDAY(IF1,1)</f>
        <v>46267</v>
      </c>
      <c r="IH1" s="9">
        <f t="shared" ref="IH1" si="75">WORKDAY(IG1,1)</f>
        <v>46268</v>
      </c>
      <c r="II1" s="9">
        <f t="shared" ref="II1" si="76">WORKDAY(IH1,1)</f>
        <v>46269</v>
      </c>
      <c r="IJ1" s="9">
        <f t="shared" ref="IJ1" si="77">WORKDAY(II1,1)</f>
        <v>46272</v>
      </c>
      <c r="IK1" s="9">
        <f t="shared" ref="IK1" si="78">WORKDAY(IJ1,1)</f>
        <v>46273</v>
      </c>
      <c r="IL1" s="9">
        <f t="shared" ref="IL1" si="79">WORKDAY(IK1,1)</f>
        <v>46274</v>
      </c>
      <c r="IM1" s="9">
        <f t="shared" ref="IM1" si="80">WORKDAY(IL1,1)</f>
        <v>46275</v>
      </c>
      <c r="IN1" s="9">
        <f t="shared" ref="IN1" si="81">WORKDAY(IM1,1)</f>
        <v>46276</v>
      </c>
      <c r="IO1" s="9">
        <f t="shared" ref="IO1" si="82">WORKDAY(IN1,1)</f>
        <v>46279</v>
      </c>
      <c r="IP1" s="9">
        <f t="shared" ref="IP1" si="83">WORKDAY(IO1,1)</f>
        <v>46280</v>
      </c>
      <c r="IQ1" s="9">
        <f t="shared" ref="IQ1" si="84">WORKDAY(IP1,1)</f>
        <v>46281</v>
      </c>
      <c r="IR1" s="9">
        <f t="shared" ref="IR1" si="85">WORKDAY(IQ1,1)</f>
        <v>46282</v>
      </c>
      <c r="IS1" s="9">
        <f t="shared" ref="IS1" si="86">WORKDAY(IR1,1)</f>
        <v>46283</v>
      </c>
      <c r="IT1" s="9">
        <f t="shared" ref="IT1" si="87">WORKDAY(IS1,1)</f>
        <v>46286</v>
      </c>
      <c r="IU1" s="9">
        <f t="shared" ref="IU1" si="88">WORKDAY(IT1,1)</f>
        <v>46287</v>
      </c>
      <c r="IV1" s="9">
        <f t="shared" ref="IV1" si="89">WORKDAY(IU1,1)</f>
        <v>46288</v>
      </c>
      <c r="IW1" s="9">
        <f t="shared" ref="IW1" si="90">WORKDAY(IV1,1)</f>
        <v>46289</v>
      </c>
      <c r="IX1" s="9">
        <f t="shared" ref="IX1" si="91">WORKDAY(IW1,1)</f>
        <v>46290</v>
      </c>
      <c r="IY1" s="9">
        <f t="shared" ref="IY1" si="92">WORKDAY(IX1,1)</f>
        <v>46293</v>
      </c>
      <c r="IZ1" s="9">
        <f t="shared" ref="IZ1" si="93">WORKDAY(IY1,1)</f>
        <v>46294</v>
      </c>
      <c r="JA1" s="9">
        <f t="shared" ref="JA1" si="94">WORKDAY(IZ1,1)</f>
        <v>46295</v>
      </c>
      <c r="JB1" s="9">
        <f t="shared" ref="JB1" si="95">WORKDAY(JA1,1)</f>
        <v>46296</v>
      </c>
      <c r="JC1" s="9">
        <f t="shared" ref="JC1" si="96">WORKDAY(JB1,1)</f>
        <v>46297</v>
      </c>
      <c r="JD1" s="9">
        <f t="shared" ref="JD1" si="97">WORKDAY(JC1,1)</f>
        <v>46300</v>
      </c>
      <c r="JE1" s="9">
        <f t="shared" ref="JE1" si="98">WORKDAY(JD1,1)</f>
        <v>46301</v>
      </c>
      <c r="JF1" s="9">
        <f t="shared" ref="JF1" si="99">WORKDAY(JE1,1)</f>
        <v>46302</v>
      </c>
      <c r="JG1" s="9">
        <f t="shared" ref="JG1" si="100">WORKDAY(JF1,1)</f>
        <v>46303</v>
      </c>
      <c r="JH1" s="9">
        <f t="shared" ref="JH1" si="101">WORKDAY(JG1,1)</f>
        <v>46304</v>
      </c>
      <c r="JI1" s="9">
        <f t="shared" ref="JI1" si="102">WORKDAY(JH1,1)</f>
        <v>46307</v>
      </c>
      <c r="JJ1" s="9">
        <f t="shared" ref="JJ1" si="103">WORKDAY(JI1,1)</f>
        <v>46308</v>
      </c>
      <c r="JK1" s="9">
        <f t="shared" ref="JK1" si="104">WORKDAY(JJ1,1)</f>
        <v>46309</v>
      </c>
      <c r="JL1" s="9">
        <f t="shared" ref="JL1" si="105">WORKDAY(JK1,1)</f>
        <v>46310</v>
      </c>
      <c r="JM1" s="9">
        <f t="shared" ref="JM1" si="106">WORKDAY(JL1,1)</f>
        <v>46311</v>
      </c>
      <c r="JN1" s="9">
        <f t="shared" ref="JN1" si="107">WORKDAY(JM1,1)</f>
        <v>46314</v>
      </c>
      <c r="JO1" s="9">
        <f t="shared" ref="JO1" si="108">WORKDAY(JN1,1)</f>
        <v>46315</v>
      </c>
      <c r="JP1" s="9">
        <f t="shared" ref="JP1" si="109">WORKDAY(JO1,1)</f>
        <v>46316</v>
      </c>
      <c r="JQ1" s="9">
        <f t="shared" ref="JQ1" si="110">WORKDAY(JP1,1)</f>
        <v>46317</v>
      </c>
      <c r="JR1" s="9">
        <f t="shared" ref="JR1" si="111">WORKDAY(JQ1,1)</f>
        <v>46318</v>
      </c>
      <c r="JS1" s="9">
        <f t="shared" ref="JS1" si="112">WORKDAY(JR1,1)</f>
        <v>46321</v>
      </c>
      <c r="JT1" s="9">
        <f t="shared" ref="JT1" si="113">WORKDAY(JS1,1)</f>
        <v>46322</v>
      </c>
      <c r="JU1" s="9">
        <f t="shared" ref="JU1" si="114">WORKDAY(JT1,1)</f>
        <v>46323</v>
      </c>
      <c r="JV1" s="9">
        <f t="shared" ref="JV1" si="115">WORKDAY(JU1,1)</f>
        <v>46324</v>
      </c>
      <c r="JW1" s="9">
        <f t="shared" ref="JW1" si="116">WORKDAY(JV1,1)</f>
        <v>46325</v>
      </c>
      <c r="JX1" s="9">
        <f t="shared" ref="JX1" si="117">WORKDAY(JW1,1)</f>
        <v>46328</v>
      </c>
      <c r="JY1" s="9">
        <f t="shared" ref="JY1" si="118">WORKDAY(JX1,1)</f>
        <v>46329</v>
      </c>
      <c r="JZ1" s="9">
        <f t="shared" ref="JZ1" si="119">WORKDAY(JY1,1)</f>
        <v>46330</v>
      </c>
      <c r="KA1" s="9">
        <f t="shared" ref="KA1" si="120">WORKDAY(JZ1,1)</f>
        <v>46331</v>
      </c>
      <c r="KB1" s="9">
        <f t="shared" ref="KB1" si="121">WORKDAY(KA1,1)</f>
        <v>46332</v>
      </c>
      <c r="KC1" s="9">
        <f t="shared" ref="KC1" si="122">WORKDAY(KB1,1)</f>
        <v>46335</v>
      </c>
      <c r="KD1" s="9">
        <f t="shared" ref="KD1" si="123">WORKDAY(KC1,1)</f>
        <v>46336</v>
      </c>
      <c r="KE1" s="9">
        <f t="shared" ref="KE1" si="124">WORKDAY(KD1,1)</f>
        <v>46337</v>
      </c>
      <c r="KF1" s="9">
        <f t="shared" ref="KF1" si="125">WORKDAY(KE1,1)</f>
        <v>46338</v>
      </c>
      <c r="KG1" s="9">
        <f t="shared" ref="KG1" si="126">WORKDAY(KF1,1)</f>
        <v>46339</v>
      </c>
      <c r="KH1" s="9">
        <f t="shared" ref="KH1" si="127">WORKDAY(KG1,1)</f>
        <v>46342</v>
      </c>
      <c r="KI1" s="9">
        <f t="shared" ref="KI1" si="128">WORKDAY(KH1,1)</f>
        <v>46343</v>
      </c>
      <c r="KJ1" s="9">
        <f t="shared" ref="KJ1" si="129">WORKDAY(KI1,1)</f>
        <v>46344</v>
      </c>
      <c r="KK1" s="9">
        <f t="shared" ref="KK1" si="130">WORKDAY(KJ1,1)</f>
        <v>46345</v>
      </c>
      <c r="KL1" s="9">
        <f t="shared" ref="KL1" si="131">WORKDAY(KK1,1)</f>
        <v>46346</v>
      </c>
      <c r="KM1" s="9">
        <f t="shared" ref="KM1" si="132">WORKDAY(KL1,1)</f>
        <v>46349</v>
      </c>
      <c r="KN1" s="9">
        <f t="shared" ref="KN1" si="133">WORKDAY(KM1,1)</f>
        <v>46350</v>
      </c>
      <c r="KO1" s="9">
        <f t="shared" ref="KO1" si="134">WORKDAY(KN1,1)</f>
        <v>46351</v>
      </c>
      <c r="KP1" s="9">
        <f t="shared" ref="KP1" si="135">WORKDAY(KO1,1)</f>
        <v>46352</v>
      </c>
      <c r="KQ1" s="9">
        <f t="shared" ref="KQ1" si="136">WORKDAY(KP1,1)</f>
        <v>46353</v>
      </c>
      <c r="KR1" s="9">
        <f t="shared" ref="KR1" si="137">WORKDAY(KQ1,1)</f>
        <v>46356</v>
      </c>
      <c r="KS1" s="9">
        <f t="shared" ref="KS1" si="138">WORKDAY(KR1,1)</f>
        <v>46357</v>
      </c>
      <c r="KT1" s="9">
        <f t="shared" ref="KT1" si="139">WORKDAY(KS1,1)</f>
        <v>46358</v>
      </c>
      <c r="KU1" s="9">
        <f t="shared" ref="KU1" si="140">WORKDAY(KT1,1)</f>
        <v>46359</v>
      </c>
      <c r="KV1" s="9">
        <f t="shared" ref="KV1" si="141">WORKDAY(KU1,1)</f>
        <v>46360</v>
      </c>
      <c r="KW1" s="9">
        <f t="shared" ref="KW1" si="142">WORKDAY(KV1,1)</f>
        <v>46363</v>
      </c>
      <c r="KX1" s="9">
        <f t="shared" ref="KX1" si="143">WORKDAY(KW1,1)</f>
        <v>46364</v>
      </c>
      <c r="KY1" s="9">
        <f t="shared" ref="KY1" si="144">WORKDAY(KX1,1)</f>
        <v>46365</v>
      </c>
      <c r="KZ1" s="9">
        <f t="shared" ref="KZ1" si="145">WORKDAY(KY1,1)</f>
        <v>46366</v>
      </c>
      <c r="LA1" s="9">
        <f t="shared" ref="LA1" si="146">WORKDAY(KZ1,1)</f>
        <v>46367</v>
      </c>
      <c r="LB1" s="9">
        <f t="shared" ref="LB1" si="147">WORKDAY(LA1,1)</f>
        <v>46370</v>
      </c>
      <c r="LC1" s="9">
        <f t="shared" ref="LC1" si="148">WORKDAY(LB1,1)</f>
        <v>46371</v>
      </c>
      <c r="LD1" s="9">
        <f t="shared" ref="LD1" si="149">WORKDAY(LC1,1)</f>
        <v>46372</v>
      </c>
      <c r="LE1" s="9">
        <f t="shared" ref="LE1" si="150">WORKDAY(LD1,1)</f>
        <v>46373</v>
      </c>
      <c r="LF1" s="9">
        <f t="shared" ref="LF1" si="151">WORKDAY(LE1,1)</f>
        <v>46374</v>
      </c>
      <c r="LG1" s="9">
        <f t="shared" ref="LG1" si="152">WORKDAY(LF1,1)</f>
        <v>46377</v>
      </c>
      <c r="LH1" s="9">
        <f t="shared" ref="LH1" si="153">WORKDAY(LG1,1)</f>
        <v>46378</v>
      </c>
      <c r="LI1" s="9">
        <f t="shared" ref="LI1" si="154">WORKDAY(LH1,1)</f>
        <v>46379</v>
      </c>
      <c r="LJ1" s="9">
        <f t="shared" ref="LJ1" si="155">WORKDAY(LI1,1)</f>
        <v>46380</v>
      </c>
      <c r="LK1" s="9">
        <f t="shared" ref="LK1" si="156">WORKDAY(LJ1,1)</f>
        <v>46381</v>
      </c>
      <c r="LL1" s="9">
        <f t="shared" ref="LL1" si="157">WORKDAY(LK1,1)</f>
        <v>46384</v>
      </c>
      <c r="LM1" s="9">
        <f t="shared" ref="LM1" si="158">WORKDAY(LL1,1)</f>
        <v>46385</v>
      </c>
      <c r="LN1" s="9">
        <f t="shared" ref="LN1" si="159">WORKDAY(LM1,1)</f>
        <v>46386</v>
      </c>
      <c r="LO1" s="9">
        <f t="shared" ref="LO1" si="160">WORKDAY(LN1,1)</f>
        <v>46387</v>
      </c>
      <c r="LP1" s="9">
        <f t="shared" ref="LP1" si="161">WORKDAY(LO1,1)</f>
        <v>46388</v>
      </c>
      <c r="LQ1" s="9">
        <f t="shared" ref="LQ1" si="162">WORKDAY(LP1,1)</f>
        <v>46391</v>
      </c>
      <c r="LR1" s="9">
        <f t="shared" ref="LR1" si="163">WORKDAY(LQ1,1)</f>
        <v>46392</v>
      </c>
      <c r="LS1" s="9">
        <f t="shared" ref="LS1" si="164">WORKDAY(LR1,1)</f>
        <v>46393</v>
      </c>
    </row>
    <row r="2" spans="1:335" s="325" customFormat="1">
      <c r="B2" s="325">
        <f>WORKDAY(B1,4)</f>
        <v>45814</v>
      </c>
      <c r="C2" s="325">
        <f>WORKDAY(C1,4)</f>
        <v>45821</v>
      </c>
      <c r="D2" s="325">
        <f>WORKDAY(D1,4)</f>
        <v>45828</v>
      </c>
      <c r="E2" s="325">
        <f>WORKDAY(E1,4)</f>
        <v>45835</v>
      </c>
      <c r="F2" s="325">
        <f>WORKDAY(F1,4)</f>
        <v>45842</v>
      </c>
      <c r="G2" s="325">
        <f>WORKDAY(G1,4)</f>
        <v>45849</v>
      </c>
      <c r="H2" s="325">
        <f>WORKDAY(H1,4)</f>
        <v>45856</v>
      </c>
      <c r="I2" s="325">
        <f>WORKDAY(I1,4)</f>
        <v>45863</v>
      </c>
      <c r="J2" s="325">
        <f>WORKDAY(J1,4)</f>
        <v>45870</v>
      </c>
      <c r="K2" s="325">
        <f>WORKDAY(K1,4)</f>
        <v>45877</v>
      </c>
      <c r="L2" s="325">
        <f>WORKDAY(L1,4)</f>
        <v>45884</v>
      </c>
      <c r="M2" s="325">
        <f>WORKDAY(M1,4)</f>
        <v>45891</v>
      </c>
      <c r="N2" s="325">
        <f>WORKDAY(N1,4)</f>
        <v>45898</v>
      </c>
      <c r="O2" s="325">
        <f>WORKDAY(O1,4)</f>
        <v>45905</v>
      </c>
      <c r="P2" s="325">
        <f>WORKDAY(P1,4)</f>
        <v>45912</v>
      </c>
      <c r="Q2" s="325">
        <f>WORKDAY(Q1,4)</f>
        <v>45919</v>
      </c>
      <c r="R2" s="325">
        <f>WORKDAY(R1,4)</f>
        <v>45926</v>
      </c>
      <c r="S2" s="325">
        <f>WORKDAY(S1,4)</f>
        <v>45933</v>
      </c>
      <c r="T2" s="325">
        <f>WORKDAY(T1,4)</f>
        <v>45940</v>
      </c>
      <c r="U2" s="325">
        <f>WORKDAY(U1,4)</f>
        <v>45947</v>
      </c>
      <c r="V2" s="325">
        <f>WORKDAY(V1,4)</f>
        <v>45954</v>
      </c>
      <c r="W2" s="325">
        <f>WORKDAY(W1,4)</f>
        <v>45961</v>
      </c>
      <c r="X2" s="325" t="s">
        <v>50</v>
      </c>
      <c r="Y2" s="325" t="s">
        <v>51</v>
      </c>
      <c r="Z2" s="325" t="s">
        <v>52</v>
      </c>
      <c r="AA2" s="325" t="s">
        <v>53</v>
      </c>
      <c r="AB2" s="325" t="s">
        <v>54</v>
      </c>
      <c r="AC2" s="325" t="s">
        <v>50</v>
      </c>
      <c r="AD2" s="325" t="s">
        <v>51</v>
      </c>
      <c r="AE2" s="325" t="s">
        <v>52</v>
      </c>
      <c r="AF2" s="325" t="s">
        <v>53</v>
      </c>
      <c r="AG2" s="325" t="s">
        <v>54</v>
      </c>
      <c r="AH2" s="325" t="s">
        <v>50</v>
      </c>
      <c r="AI2" s="325" t="s">
        <v>51</v>
      </c>
      <c r="AJ2" s="325" t="s">
        <v>52</v>
      </c>
      <c r="AK2" s="325" t="s">
        <v>53</v>
      </c>
      <c r="AL2" s="325" t="s">
        <v>54</v>
      </c>
      <c r="AM2" s="325" t="s">
        <v>50</v>
      </c>
      <c r="AN2" s="325" t="s">
        <v>51</v>
      </c>
      <c r="AO2" s="325" t="s">
        <v>52</v>
      </c>
      <c r="AP2" s="325" t="s">
        <v>53</v>
      </c>
      <c r="AQ2" s="325" t="s">
        <v>54</v>
      </c>
      <c r="AR2" s="325" t="s">
        <v>50</v>
      </c>
      <c r="AS2" s="325" t="s">
        <v>51</v>
      </c>
      <c r="AT2" s="325" t="s">
        <v>52</v>
      </c>
      <c r="AU2" s="325" t="s">
        <v>53</v>
      </c>
      <c r="AV2" s="325" t="s">
        <v>54</v>
      </c>
      <c r="AW2" s="325" t="s">
        <v>50</v>
      </c>
      <c r="AX2" s="325" t="s">
        <v>51</v>
      </c>
      <c r="AY2" s="325" t="s">
        <v>52</v>
      </c>
      <c r="AZ2" s="325" t="s">
        <v>53</v>
      </c>
      <c r="BA2" s="325" t="s">
        <v>54</v>
      </c>
      <c r="BB2" s="325" t="s">
        <v>50</v>
      </c>
      <c r="BC2" s="325" t="s">
        <v>51</v>
      </c>
      <c r="BD2" s="325" t="s">
        <v>52</v>
      </c>
      <c r="BE2" s="325" t="s">
        <v>53</v>
      </c>
      <c r="BF2" s="325" t="s">
        <v>54</v>
      </c>
      <c r="BG2" s="325" t="s">
        <v>50</v>
      </c>
      <c r="BH2" s="325" t="s">
        <v>51</v>
      </c>
      <c r="BI2" s="325" t="s">
        <v>52</v>
      </c>
      <c r="BJ2" s="325" t="s">
        <v>53</v>
      </c>
      <c r="BK2" s="325" t="s">
        <v>54</v>
      </c>
      <c r="BL2" s="325" t="s">
        <v>50</v>
      </c>
      <c r="BM2" s="325" t="s">
        <v>51</v>
      </c>
      <c r="BN2" s="325" t="s">
        <v>52</v>
      </c>
      <c r="BO2" s="325" t="s">
        <v>53</v>
      </c>
      <c r="BP2" s="325" t="s">
        <v>54</v>
      </c>
      <c r="BQ2" s="325" t="s">
        <v>50</v>
      </c>
      <c r="BR2" s="325" t="s">
        <v>51</v>
      </c>
      <c r="BS2" s="325" t="s">
        <v>52</v>
      </c>
      <c r="BT2" s="325" t="s">
        <v>53</v>
      </c>
      <c r="BU2" s="325" t="s">
        <v>54</v>
      </c>
      <c r="BV2" s="325" t="s">
        <v>50</v>
      </c>
      <c r="BW2" s="325" t="s">
        <v>51</v>
      </c>
      <c r="BX2" s="325" t="s">
        <v>52</v>
      </c>
      <c r="BY2" s="325" t="s">
        <v>53</v>
      </c>
      <c r="BZ2" s="325" t="s">
        <v>54</v>
      </c>
      <c r="CA2" s="325" t="s">
        <v>50</v>
      </c>
      <c r="CB2" s="325" t="s">
        <v>51</v>
      </c>
      <c r="CC2" s="325" t="s">
        <v>52</v>
      </c>
      <c r="CD2" s="325" t="s">
        <v>53</v>
      </c>
      <c r="CE2" s="325" t="s">
        <v>54</v>
      </c>
      <c r="CF2" s="325" t="s">
        <v>50</v>
      </c>
      <c r="CG2" s="325" t="s">
        <v>51</v>
      </c>
      <c r="CH2" s="325" t="s">
        <v>52</v>
      </c>
      <c r="CI2" s="325" t="s">
        <v>53</v>
      </c>
      <c r="CJ2" s="325" t="s">
        <v>54</v>
      </c>
      <c r="CK2" s="325" t="s">
        <v>50</v>
      </c>
      <c r="CL2" s="325" t="s">
        <v>51</v>
      </c>
      <c r="CM2" s="325" t="s">
        <v>52</v>
      </c>
      <c r="CN2" s="325" t="s">
        <v>53</v>
      </c>
      <c r="CO2" s="325" t="s">
        <v>54</v>
      </c>
      <c r="CP2" s="325" t="s">
        <v>50</v>
      </c>
      <c r="CQ2" s="325" t="s">
        <v>51</v>
      </c>
      <c r="CR2" s="325" t="s">
        <v>52</v>
      </c>
      <c r="CS2" s="325" t="s">
        <v>53</v>
      </c>
      <c r="CT2" s="325" t="s">
        <v>54</v>
      </c>
      <c r="CU2" s="325" t="s">
        <v>50</v>
      </c>
      <c r="CV2" s="325" t="s">
        <v>51</v>
      </c>
      <c r="CW2" s="325" t="s">
        <v>52</v>
      </c>
      <c r="CX2" s="325" t="s">
        <v>53</v>
      </c>
      <c r="CY2" s="325" t="s">
        <v>54</v>
      </c>
      <c r="CZ2" s="325" t="s">
        <v>50</v>
      </c>
      <c r="DA2" s="325" t="s">
        <v>51</v>
      </c>
      <c r="DB2" s="325" t="s">
        <v>52</v>
      </c>
      <c r="DC2" s="325" t="s">
        <v>53</v>
      </c>
      <c r="DD2" s="325" t="s">
        <v>54</v>
      </c>
      <c r="DE2" s="325" t="s">
        <v>50</v>
      </c>
      <c r="DF2" s="325" t="s">
        <v>51</v>
      </c>
      <c r="DG2" s="325" t="s">
        <v>52</v>
      </c>
      <c r="DH2" s="325" t="s">
        <v>53</v>
      </c>
      <c r="DI2" s="325" t="s">
        <v>54</v>
      </c>
      <c r="DJ2" s="325" t="s">
        <v>50</v>
      </c>
      <c r="DK2" s="325" t="s">
        <v>51</v>
      </c>
      <c r="DL2" s="325" t="s">
        <v>52</v>
      </c>
      <c r="DM2" s="325" t="s">
        <v>53</v>
      </c>
      <c r="DN2" s="325" t="s">
        <v>54</v>
      </c>
      <c r="DO2" s="325" t="s">
        <v>50</v>
      </c>
      <c r="DP2" s="325" t="s">
        <v>51</v>
      </c>
      <c r="DQ2" s="325" t="s">
        <v>52</v>
      </c>
      <c r="DR2" s="325" t="s">
        <v>53</v>
      </c>
      <c r="DS2" s="325" t="s">
        <v>54</v>
      </c>
      <c r="DT2" s="325" t="s">
        <v>50</v>
      </c>
      <c r="DU2" s="325" t="s">
        <v>51</v>
      </c>
      <c r="DV2" s="325" t="s">
        <v>52</v>
      </c>
      <c r="DW2" s="325" t="s">
        <v>53</v>
      </c>
      <c r="DX2" s="325" t="s">
        <v>54</v>
      </c>
      <c r="DY2" s="325" t="s">
        <v>50</v>
      </c>
      <c r="DZ2" s="325" t="s">
        <v>51</v>
      </c>
      <c r="EA2" s="325" t="s">
        <v>52</v>
      </c>
      <c r="EB2" s="325" t="s">
        <v>53</v>
      </c>
      <c r="EC2" s="325" t="s">
        <v>54</v>
      </c>
      <c r="ED2" s="325" t="s">
        <v>50</v>
      </c>
      <c r="EE2" s="325" t="s">
        <v>51</v>
      </c>
      <c r="EF2" s="325" t="s">
        <v>52</v>
      </c>
      <c r="EG2" s="325" t="s">
        <v>53</v>
      </c>
      <c r="EH2" s="325" t="s">
        <v>54</v>
      </c>
      <c r="EI2" s="325" t="s">
        <v>50</v>
      </c>
      <c r="EJ2" s="325" t="s">
        <v>51</v>
      </c>
      <c r="EK2" s="325" t="s">
        <v>52</v>
      </c>
      <c r="EL2" s="325" t="s">
        <v>53</v>
      </c>
      <c r="EM2" s="325" t="s">
        <v>54</v>
      </c>
      <c r="EN2" s="325" t="s">
        <v>50</v>
      </c>
      <c r="EO2" s="325" t="s">
        <v>51</v>
      </c>
      <c r="EP2" s="325" t="s">
        <v>52</v>
      </c>
      <c r="EQ2" s="325" t="s">
        <v>53</v>
      </c>
      <c r="ER2" s="325" t="s">
        <v>54</v>
      </c>
      <c r="ES2" s="325" t="s">
        <v>50</v>
      </c>
      <c r="ET2" s="325" t="s">
        <v>51</v>
      </c>
      <c r="EU2" s="325" t="s">
        <v>52</v>
      </c>
      <c r="EV2" s="325" t="s">
        <v>53</v>
      </c>
      <c r="EW2" s="325" t="s">
        <v>54</v>
      </c>
      <c r="EX2" s="325" t="s">
        <v>50</v>
      </c>
      <c r="EY2" s="325" t="s">
        <v>51</v>
      </c>
      <c r="EZ2" s="325" t="s">
        <v>52</v>
      </c>
      <c r="FA2" s="325" t="s">
        <v>53</v>
      </c>
      <c r="FB2" s="325" t="s">
        <v>54</v>
      </c>
      <c r="FC2" s="325" t="s">
        <v>50</v>
      </c>
      <c r="FD2" s="325" t="s">
        <v>51</v>
      </c>
      <c r="FE2" s="325" t="s">
        <v>52</v>
      </c>
      <c r="FF2" s="325" t="s">
        <v>53</v>
      </c>
      <c r="FG2" s="325" t="s">
        <v>54</v>
      </c>
      <c r="FH2" s="325" t="s">
        <v>50</v>
      </c>
      <c r="FI2" s="325" t="s">
        <v>51</v>
      </c>
      <c r="FJ2" s="325" t="s">
        <v>52</v>
      </c>
      <c r="FK2" s="325" t="s">
        <v>53</v>
      </c>
      <c r="FL2" s="325" t="s">
        <v>54</v>
      </c>
      <c r="FM2" s="325" t="s">
        <v>50</v>
      </c>
      <c r="FN2" s="325" t="s">
        <v>51</v>
      </c>
      <c r="FO2" s="325" t="s">
        <v>52</v>
      </c>
      <c r="FP2" s="325" t="s">
        <v>53</v>
      </c>
      <c r="FQ2" s="325" t="s">
        <v>54</v>
      </c>
      <c r="FR2" s="325" t="s">
        <v>50</v>
      </c>
      <c r="FS2" s="325" t="s">
        <v>51</v>
      </c>
      <c r="FT2" s="325" t="s">
        <v>52</v>
      </c>
      <c r="FU2" s="325" t="s">
        <v>53</v>
      </c>
      <c r="FV2" s="325" t="s">
        <v>54</v>
      </c>
      <c r="FW2" s="325" t="s">
        <v>50</v>
      </c>
      <c r="FX2" s="325" t="s">
        <v>51</v>
      </c>
      <c r="FY2" s="325" t="s">
        <v>52</v>
      </c>
      <c r="FZ2" s="325" t="s">
        <v>53</v>
      </c>
      <c r="GA2" s="325" t="s">
        <v>54</v>
      </c>
      <c r="GB2" s="325" t="s">
        <v>50</v>
      </c>
      <c r="GC2" s="325" t="s">
        <v>51</v>
      </c>
      <c r="GD2" s="325" t="s">
        <v>52</v>
      </c>
      <c r="GE2" s="325" t="s">
        <v>53</v>
      </c>
      <c r="GF2" s="325" t="s">
        <v>54</v>
      </c>
      <c r="GG2" s="325" t="s">
        <v>50</v>
      </c>
      <c r="GH2" s="325" t="s">
        <v>51</v>
      </c>
      <c r="GI2" s="325" t="s">
        <v>52</v>
      </c>
      <c r="GJ2" s="325" t="s">
        <v>53</v>
      </c>
      <c r="GK2" s="325" t="s">
        <v>54</v>
      </c>
      <c r="GL2" s="325" t="s">
        <v>50</v>
      </c>
      <c r="GM2" s="325" t="s">
        <v>51</v>
      </c>
      <c r="GN2" s="325" t="s">
        <v>52</v>
      </c>
      <c r="GO2" s="325" t="s">
        <v>53</v>
      </c>
      <c r="GP2" s="325" t="s">
        <v>54</v>
      </c>
      <c r="GQ2" s="325" t="s">
        <v>50</v>
      </c>
      <c r="GR2" s="325" t="s">
        <v>51</v>
      </c>
      <c r="GS2" s="325" t="s">
        <v>52</v>
      </c>
      <c r="GT2" s="325" t="s">
        <v>53</v>
      </c>
      <c r="GU2" s="325" t="s">
        <v>54</v>
      </c>
      <c r="GV2" s="325" t="s">
        <v>50</v>
      </c>
      <c r="GW2" s="325" t="s">
        <v>51</v>
      </c>
      <c r="GX2" s="325" t="s">
        <v>52</v>
      </c>
      <c r="GY2" s="325" t="s">
        <v>53</v>
      </c>
      <c r="GZ2" s="325" t="s">
        <v>54</v>
      </c>
      <c r="HA2" s="325" t="s">
        <v>50</v>
      </c>
      <c r="HB2" s="325" t="s">
        <v>51</v>
      </c>
      <c r="HC2" s="325" t="s">
        <v>52</v>
      </c>
      <c r="HD2" s="325" t="s">
        <v>53</v>
      </c>
      <c r="HE2" s="325" t="s">
        <v>54</v>
      </c>
      <c r="HF2" s="325" t="s">
        <v>50</v>
      </c>
      <c r="HG2" s="325" t="s">
        <v>51</v>
      </c>
      <c r="HH2" s="325" t="s">
        <v>52</v>
      </c>
      <c r="HI2" s="325" t="s">
        <v>53</v>
      </c>
      <c r="HJ2" s="325" t="s">
        <v>54</v>
      </c>
      <c r="HK2" s="325" t="s">
        <v>50</v>
      </c>
      <c r="HL2" s="325" t="s">
        <v>51</v>
      </c>
      <c r="HM2" s="325" t="s">
        <v>52</v>
      </c>
      <c r="HN2" s="325" t="s">
        <v>53</v>
      </c>
      <c r="HO2" s="325" t="s">
        <v>54</v>
      </c>
      <c r="HP2" s="325" t="s">
        <v>50</v>
      </c>
      <c r="HQ2" s="325" t="s">
        <v>51</v>
      </c>
      <c r="HR2" s="325" t="s">
        <v>52</v>
      </c>
      <c r="HS2" s="325" t="s">
        <v>53</v>
      </c>
      <c r="HT2" s="325" t="s">
        <v>54</v>
      </c>
      <c r="HU2" s="325" t="s">
        <v>50</v>
      </c>
      <c r="HV2" s="325" t="s">
        <v>51</v>
      </c>
      <c r="HW2" s="325" t="s">
        <v>52</v>
      </c>
      <c r="HX2" s="325" t="s">
        <v>53</v>
      </c>
      <c r="HY2" s="325" t="s">
        <v>54</v>
      </c>
      <c r="HZ2" s="325" t="s">
        <v>50</v>
      </c>
      <c r="IA2" s="325" t="s">
        <v>51</v>
      </c>
      <c r="IB2" s="325" t="s">
        <v>52</v>
      </c>
      <c r="IC2" s="325" t="s">
        <v>53</v>
      </c>
      <c r="ID2" s="325" t="s">
        <v>54</v>
      </c>
      <c r="IE2" s="325" t="s">
        <v>50</v>
      </c>
      <c r="IF2" s="325" t="s">
        <v>51</v>
      </c>
      <c r="IG2" s="325" t="s">
        <v>52</v>
      </c>
      <c r="IH2" s="325" t="s">
        <v>53</v>
      </c>
      <c r="II2" s="325" t="s">
        <v>54</v>
      </c>
      <c r="IJ2" s="325" t="s">
        <v>50</v>
      </c>
      <c r="IK2" s="325" t="s">
        <v>51</v>
      </c>
      <c r="IL2" s="325" t="s">
        <v>52</v>
      </c>
      <c r="IM2" s="325" t="s">
        <v>53</v>
      </c>
      <c r="IN2" s="325" t="s">
        <v>54</v>
      </c>
      <c r="IO2" s="325" t="s">
        <v>50</v>
      </c>
      <c r="IP2" s="325" t="s">
        <v>51</v>
      </c>
      <c r="IQ2" s="325" t="s">
        <v>52</v>
      </c>
      <c r="IR2" s="325" t="s">
        <v>53</v>
      </c>
      <c r="IS2" s="325" t="s">
        <v>54</v>
      </c>
      <c r="IT2" s="325" t="s">
        <v>50</v>
      </c>
      <c r="IU2" s="325" t="s">
        <v>51</v>
      </c>
      <c r="IV2" s="325" t="s">
        <v>52</v>
      </c>
      <c r="IW2" s="325" t="s">
        <v>53</v>
      </c>
      <c r="IX2" s="325" t="s">
        <v>54</v>
      </c>
      <c r="IY2" s="325" t="s">
        <v>50</v>
      </c>
      <c r="IZ2" s="325" t="s">
        <v>51</v>
      </c>
      <c r="JA2" s="325" t="s">
        <v>52</v>
      </c>
      <c r="JB2" s="325" t="s">
        <v>53</v>
      </c>
      <c r="JC2" s="325" t="s">
        <v>54</v>
      </c>
      <c r="JD2" s="325" t="s">
        <v>50</v>
      </c>
      <c r="JE2" s="325" t="s">
        <v>51</v>
      </c>
      <c r="JF2" s="325" t="s">
        <v>52</v>
      </c>
      <c r="JG2" s="325" t="s">
        <v>53</v>
      </c>
      <c r="JH2" s="325" t="s">
        <v>54</v>
      </c>
      <c r="JI2" s="325" t="s">
        <v>50</v>
      </c>
      <c r="JJ2" s="325" t="s">
        <v>51</v>
      </c>
      <c r="JK2" s="325" t="s">
        <v>52</v>
      </c>
      <c r="JL2" s="325" t="s">
        <v>53</v>
      </c>
      <c r="JM2" s="325" t="s">
        <v>54</v>
      </c>
      <c r="JN2" s="325" t="s">
        <v>50</v>
      </c>
      <c r="JO2" s="325" t="s">
        <v>51</v>
      </c>
      <c r="JP2" s="325" t="s">
        <v>52</v>
      </c>
      <c r="JQ2" s="325" t="s">
        <v>53</v>
      </c>
      <c r="JR2" s="325" t="s">
        <v>54</v>
      </c>
      <c r="JS2" s="325" t="s">
        <v>50</v>
      </c>
      <c r="JT2" s="325" t="s">
        <v>51</v>
      </c>
      <c r="JU2" s="325" t="s">
        <v>52</v>
      </c>
      <c r="JV2" s="325" t="s">
        <v>53</v>
      </c>
      <c r="JW2" s="325" t="s">
        <v>54</v>
      </c>
      <c r="JX2" s="325" t="s">
        <v>50</v>
      </c>
      <c r="JY2" s="325" t="s">
        <v>51</v>
      </c>
      <c r="JZ2" s="325" t="s">
        <v>52</v>
      </c>
      <c r="KA2" s="325" t="s">
        <v>53</v>
      </c>
      <c r="KB2" s="325" t="s">
        <v>54</v>
      </c>
      <c r="KC2" s="325" t="s">
        <v>50</v>
      </c>
      <c r="KD2" s="325" t="s">
        <v>51</v>
      </c>
      <c r="KE2" s="325" t="s">
        <v>52</v>
      </c>
      <c r="KF2" s="325" t="s">
        <v>53</v>
      </c>
      <c r="KG2" s="325" t="s">
        <v>54</v>
      </c>
      <c r="KH2" s="325" t="s">
        <v>50</v>
      </c>
      <c r="KI2" s="325" t="s">
        <v>51</v>
      </c>
      <c r="KJ2" s="325" t="s">
        <v>52</v>
      </c>
      <c r="KK2" s="325" t="s">
        <v>53</v>
      </c>
      <c r="KL2" s="325" t="s">
        <v>54</v>
      </c>
      <c r="KM2" s="325" t="s">
        <v>50</v>
      </c>
      <c r="KN2" s="325" t="s">
        <v>51</v>
      </c>
      <c r="KO2" s="325" t="s">
        <v>52</v>
      </c>
      <c r="KP2" s="325" t="s">
        <v>53</v>
      </c>
      <c r="KQ2" s="325" t="s">
        <v>54</v>
      </c>
      <c r="KR2" s="325" t="s">
        <v>50</v>
      </c>
      <c r="KS2" s="325" t="s">
        <v>51</v>
      </c>
      <c r="KT2" s="325" t="s">
        <v>52</v>
      </c>
      <c r="KU2" s="325" t="s">
        <v>53</v>
      </c>
      <c r="KV2" s="325" t="s">
        <v>54</v>
      </c>
      <c r="KW2" s="325" t="s">
        <v>50</v>
      </c>
      <c r="KX2" s="325" t="s">
        <v>51</v>
      </c>
      <c r="KY2" s="325" t="s">
        <v>52</v>
      </c>
      <c r="KZ2" s="325" t="s">
        <v>53</v>
      </c>
      <c r="LA2" s="325" t="s">
        <v>54</v>
      </c>
      <c r="LB2" s="325" t="s">
        <v>50</v>
      </c>
      <c r="LC2" s="325" t="s">
        <v>51</v>
      </c>
      <c r="LD2" s="325" t="s">
        <v>52</v>
      </c>
      <c r="LE2" s="325" t="s">
        <v>53</v>
      </c>
      <c r="LF2" s="325" t="s">
        <v>54</v>
      </c>
      <c r="LG2" s="325" t="s">
        <v>50</v>
      </c>
      <c r="LH2" s="325" t="s">
        <v>51</v>
      </c>
      <c r="LI2" s="325" t="s">
        <v>52</v>
      </c>
      <c r="LJ2" s="325" t="s">
        <v>53</v>
      </c>
      <c r="LK2" s="325" t="s">
        <v>54</v>
      </c>
      <c r="LL2" s="325" t="s">
        <v>50</v>
      </c>
      <c r="LM2" s="325" t="s">
        <v>51</v>
      </c>
      <c r="LN2" s="325" t="s">
        <v>52</v>
      </c>
      <c r="LO2" s="325" t="s">
        <v>53</v>
      </c>
      <c r="LP2" s="325" t="s">
        <v>54</v>
      </c>
    </row>
    <row r="3" spans="1:335" s="77" customFormat="1" ht="135.75" hidden="1" customHeight="1">
      <c r="A3" s="70" t="s">
        <v>1988</v>
      </c>
      <c r="B3" s="71" t="s">
        <v>1989</v>
      </c>
      <c r="C3" s="71" t="s">
        <v>1990</v>
      </c>
      <c r="D3" s="71" t="s">
        <v>1990</v>
      </c>
      <c r="E3" s="72" t="s">
        <v>1991</v>
      </c>
      <c r="F3" s="73" t="s">
        <v>1992</v>
      </c>
      <c r="G3" s="74" t="s">
        <v>141</v>
      </c>
      <c r="H3" s="71" t="s">
        <v>1993</v>
      </c>
      <c r="I3" s="71" t="s">
        <v>1994</v>
      </c>
      <c r="J3" s="71" t="s">
        <v>1995</v>
      </c>
      <c r="K3" s="71" t="s">
        <v>1996</v>
      </c>
      <c r="L3" s="75" t="s">
        <v>1997</v>
      </c>
      <c r="M3" s="71" t="s">
        <v>1998</v>
      </c>
      <c r="N3" s="76" t="s">
        <v>1999</v>
      </c>
      <c r="O3" s="76" t="s">
        <v>2000</v>
      </c>
      <c r="P3" s="71" t="s">
        <v>2001</v>
      </c>
      <c r="Q3" s="71" t="s">
        <v>2002</v>
      </c>
      <c r="R3" s="76" t="s">
        <v>2003</v>
      </c>
      <c r="S3" s="71" t="s">
        <v>2004</v>
      </c>
      <c r="T3" s="76" t="s">
        <v>2005</v>
      </c>
      <c r="U3" s="76" t="s">
        <v>2006</v>
      </c>
      <c r="V3" s="76" t="s">
        <v>2007</v>
      </c>
      <c r="W3" s="76" t="s">
        <v>2008</v>
      </c>
      <c r="X3" s="13" t="s">
        <v>2009</v>
      </c>
      <c r="Y3" s="13" t="s">
        <v>2009</v>
      </c>
      <c r="Z3" s="13" t="s">
        <v>2009</v>
      </c>
      <c r="AA3" s="13" t="s">
        <v>2009</v>
      </c>
      <c r="AB3" s="13" t="s">
        <v>2009</v>
      </c>
      <c r="AC3" s="13" t="s">
        <v>2009</v>
      </c>
      <c r="AD3" s="12" t="s">
        <v>842</v>
      </c>
      <c r="AE3" s="13" t="s">
        <v>2010</v>
      </c>
      <c r="AF3" s="13" t="s">
        <v>2010</v>
      </c>
      <c r="AG3" s="13" t="s">
        <v>2010</v>
      </c>
      <c r="AH3" s="13" t="s">
        <v>2010</v>
      </c>
      <c r="AI3" s="13" t="s">
        <v>2010</v>
      </c>
      <c r="AJ3" s="13" t="s">
        <v>2010</v>
      </c>
      <c r="AK3" s="13" t="s">
        <v>2010</v>
      </c>
      <c r="AL3" s="13" t="s">
        <v>2010</v>
      </c>
      <c r="AM3" s="13" t="s">
        <v>2010</v>
      </c>
      <c r="AN3" s="13" t="s">
        <v>2010</v>
      </c>
      <c r="AO3" s="12" t="s">
        <v>18</v>
      </c>
      <c r="AP3" s="40" t="s">
        <v>842</v>
      </c>
      <c r="AQ3" s="40" t="s">
        <v>842</v>
      </c>
      <c r="AR3" s="12" t="s">
        <v>18</v>
      </c>
      <c r="AS3" s="12" t="s">
        <v>18</v>
      </c>
      <c r="AT3" s="12" t="s">
        <v>18</v>
      </c>
      <c r="AU3" s="12" t="s">
        <v>18</v>
      </c>
      <c r="AV3" s="12" t="s">
        <v>18</v>
      </c>
      <c r="AW3" s="13" t="s">
        <v>2010</v>
      </c>
      <c r="AX3" s="13" t="s">
        <v>2010</v>
      </c>
      <c r="AY3" s="13" t="s">
        <v>2010</v>
      </c>
      <c r="AZ3" s="13" t="s">
        <v>2010</v>
      </c>
      <c r="BA3" s="13" t="s">
        <v>2010</v>
      </c>
      <c r="BB3" s="13" t="s">
        <v>2010</v>
      </c>
      <c r="BC3" s="13" t="s">
        <v>2010</v>
      </c>
      <c r="BD3" s="13" t="s">
        <v>2010</v>
      </c>
      <c r="BE3" s="13" t="s">
        <v>2010</v>
      </c>
      <c r="BF3" s="13" t="s">
        <v>2010</v>
      </c>
      <c r="BG3" s="13" t="s">
        <v>2010</v>
      </c>
      <c r="BH3" s="13" t="s">
        <v>2010</v>
      </c>
      <c r="BI3" s="104" t="s">
        <v>1021</v>
      </c>
      <c r="BJ3" s="59" t="s">
        <v>842</v>
      </c>
      <c r="BK3" s="59" t="s">
        <v>848</v>
      </c>
      <c r="BL3" s="59" t="s">
        <v>848</v>
      </c>
      <c r="BM3" s="59" t="s">
        <v>848</v>
      </c>
      <c r="BN3" s="59" t="s">
        <v>848</v>
      </c>
      <c r="BO3" s="59" t="s">
        <v>842</v>
      </c>
      <c r="BP3" s="104" t="s">
        <v>1021</v>
      </c>
      <c r="BQ3" s="104" t="s">
        <v>2011</v>
      </c>
      <c r="BR3" s="13" t="s">
        <v>2010</v>
      </c>
      <c r="BS3" s="13" t="s">
        <v>2010</v>
      </c>
      <c r="BT3" s="13" t="s">
        <v>2010</v>
      </c>
      <c r="BU3" s="13" t="s">
        <v>2010</v>
      </c>
      <c r="BV3" s="13" t="s">
        <v>2010</v>
      </c>
      <c r="BW3" s="112" t="s">
        <v>2010</v>
      </c>
      <c r="BX3" s="13" t="s">
        <v>2010</v>
      </c>
      <c r="BY3" s="13" t="s">
        <v>2010</v>
      </c>
      <c r="BZ3" s="13" t="s">
        <v>2010</v>
      </c>
      <c r="CA3" s="59" t="s">
        <v>842</v>
      </c>
      <c r="CB3" s="13" t="s">
        <v>2010</v>
      </c>
      <c r="CC3" s="13" t="s">
        <v>2010</v>
      </c>
      <c r="CD3" s="13" t="s">
        <v>2010</v>
      </c>
      <c r="CE3" s="13" t="s">
        <v>2010</v>
      </c>
      <c r="CF3" s="13" t="s">
        <v>2010</v>
      </c>
      <c r="CG3" s="13" t="s">
        <v>2010</v>
      </c>
      <c r="CH3" s="13" t="s">
        <v>2010</v>
      </c>
      <c r="CI3" s="13" t="s">
        <v>2010</v>
      </c>
      <c r="CJ3" s="13" t="s">
        <v>2010</v>
      </c>
      <c r="CK3" s="38" t="s">
        <v>2012</v>
      </c>
      <c r="CL3" s="38" t="s">
        <v>2012</v>
      </c>
      <c r="CM3" s="234" t="s">
        <v>2012</v>
      </c>
      <c r="CN3" s="38" t="s">
        <v>2012</v>
      </c>
      <c r="CO3" s="38" t="s">
        <v>2013</v>
      </c>
      <c r="CP3" s="38" t="s">
        <v>2013</v>
      </c>
      <c r="CQ3" s="160" t="s">
        <v>2014</v>
      </c>
      <c r="CR3" s="38" t="s">
        <v>2013</v>
      </c>
      <c r="CS3" s="38" t="s">
        <v>2013</v>
      </c>
      <c r="CT3" s="38" t="s">
        <v>2013</v>
      </c>
      <c r="CU3" s="59" t="s">
        <v>866</v>
      </c>
      <c r="CV3" s="38" t="s">
        <v>2015</v>
      </c>
      <c r="CW3" s="38" t="s">
        <v>2015</v>
      </c>
      <c r="CX3" s="38" t="s">
        <v>2015</v>
      </c>
      <c r="CY3" s="38" t="s">
        <v>2015</v>
      </c>
      <c r="CZ3" s="38" t="s">
        <v>2015</v>
      </c>
      <c r="DA3" s="38" t="s">
        <v>2016</v>
      </c>
      <c r="DB3" s="38" t="s">
        <v>2016</v>
      </c>
      <c r="DC3" s="38" t="s">
        <v>2017</v>
      </c>
      <c r="DD3" s="38" t="s">
        <v>2017</v>
      </c>
      <c r="DE3" s="38" t="s">
        <v>2017</v>
      </c>
      <c r="DF3" s="38" t="s">
        <v>2017</v>
      </c>
      <c r="DG3" s="38" t="s">
        <v>2017</v>
      </c>
      <c r="DH3" s="38" t="s">
        <v>2017</v>
      </c>
      <c r="DI3" s="38" t="s">
        <v>2017</v>
      </c>
      <c r="DJ3" s="38" t="s">
        <v>2017</v>
      </c>
      <c r="DK3" s="38" t="s">
        <v>2017</v>
      </c>
      <c r="DL3" s="13" t="s">
        <v>2018</v>
      </c>
      <c r="DM3" s="112" t="s">
        <v>2019</v>
      </c>
      <c r="DN3" s="112" t="s">
        <v>2019</v>
      </c>
      <c r="DO3" s="112" t="s">
        <v>2020</v>
      </c>
      <c r="DP3" s="112" t="s">
        <v>2021</v>
      </c>
      <c r="DQ3" s="158" t="s">
        <v>2022</v>
      </c>
      <c r="DR3" s="158" t="s">
        <v>2023</v>
      </c>
      <c r="DS3" s="234" t="s">
        <v>2024</v>
      </c>
      <c r="DT3" s="234" t="s">
        <v>2024</v>
      </c>
      <c r="DU3" s="234" t="s">
        <v>2024</v>
      </c>
      <c r="DV3" s="234" t="s">
        <v>2024</v>
      </c>
      <c r="DW3" s="234" t="s">
        <v>2024</v>
      </c>
      <c r="DX3" s="234" t="s">
        <v>2024</v>
      </c>
      <c r="DY3" s="234" t="s">
        <v>2024</v>
      </c>
      <c r="DZ3" s="234" t="s">
        <v>2024</v>
      </c>
      <c r="EA3" s="234" t="s">
        <v>2024</v>
      </c>
      <c r="EB3" s="209" t="s">
        <v>2025</v>
      </c>
      <c r="EC3" s="234" t="s">
        <v>2026</v>
      </c>
      <c r="ED3" s="234" t="s">
        <v>2026</v>
      </c>
      <c r="EE3" s="38" t="s">
        <v>2026</v>
      </c>
      <c r="EF3" s="157" t="s">
        <v>2027</v>
      </c>
      <c r="EG3" s="157" t="s">
        <v>2027</v>
      </c>
      <c r="EH3" s="157" t="s">
        <v>2027</v>
      </c>
      <c r="EI3" s="157" t="s">
        <v>2027</v>
      </c>
      <c r="EJ3" s="38" t="s">
        <v>2026</v>
      </c>
      <c r="EK3" s="38" t="s">
        <v>2026</v>
      </c>
      <c r="EL3" s="38" t="s">
        <v>2026</v>
      </c>
      <c r="EM3" s="157" t="s">
        <v>2028</v>
      </c>
      <c r="EN3" s="157" t="s">
        <v>2028</v>
      </c>
      <c r="EO3" s="157" t="s">
        <v>2028</v>
      </c>
      <c r="EP3" s="157" t="s">
        <v>2028</v>
      </c>
      <c r="EQ3" s="157" t="s">
        <v>2028</v>
      </c>
      <c r="ER3" s="38" t="s">
        <v>2026</v>
      </c>
      <c r="ES3" s="38" t="s">
        <v>2026</v>
      </c>
      <c r="ET3" s="234" t="s">
        <v>2026</v>
      </c>
      <c r="EU3" s="38" t="s">
        <v>2026</v>
      </c>
      <c r="EV3" s="38" t="s">
        <v>2026</v>
      </c>
      <c r="EW3" s="38" t="s">
        <v>2026</v>
      </c>
      <c r="EX3" s="38" t="s">
        <v>2026</v>
      </c>
      <c r="EY3" s="38" t="s">
        <v>2026</v>
      </c>
      <c r="EZ3" s="38" t="s">
        <v>2026</v>
      </c>
      <c r="FA3" s="38" t="s">
        <v>2026</v>
      </c>
      <c r="FB3" s="38" t="s">
        <v>2026</v>
      </c>
      <c r="FC3" s="38" t="s">
        <v>2026</v>
      </c>
      <c r="FD3" s="38" t="s">
        <v>2026</v>
      </c>
      <c r="FE3" s="38" t="s">
        <v>2026</v>
      </c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355"/>
      <c r="GJ3" s="355"/>
      <c r="GK3" s="355"/>
      <c r="GL3" s="355"/>
      <c r="GM3" s="355"/>
      <c r="GN3" s="355"/>
      <c r="GO3" s="355"/>
      <c r="GP3" s="355"/>
      <c r="GQ3" s="355"/>
      <c r="GR3" s="355"/>
      <c r="GS3" s="356"/>
      <c r="GT3" s="355"/>
      <c r="GU3" s="355"/>
      <c r="GV3" s="355"/>
      <c r="GW3" s="355"/>
      <c r="GX3" s="355"/>
    </row>
    <row r="4" spans="1:335" s="77" customFormat="1" ht="146.25" customHeight="1">
      <c r="A4" s="78" t="s">
        <v>2029</v>
      </c>
      <c r="B4" s="71" t="s">
        <v>2030</v>
      </c>
      <c r="C4" s="71" t="s">
        <v>2031</v>
      </c>
      <c r="D4" s="71" t="s">
        <v>2032</v>
      </c>
      <c r="E4" s="71" t="s">
        <v>2033</v>
      </c>
      <c r="F4" s="71" t="s">
        <v>2034</v>
      </c>
      <c r="G4" s="71" t="s">
        <v>2035</v>
      </c>
      <c r="H4" s="71" t="s">
        <v>2036</v>
      </c>
      <c r="I4" s="71" t="s">
        <v>2037</v>
      </c>
      <c r="J4" s="71" t="s">
        <v>2038</v>
      </c>
      <c r="K4" s="71" t="s">
        <v>2038</v>
      </c>
      <c r="L4" s="71" t="s">
        <v>2038</v>
      </c>
      <c r="M4" s="71" t="s">
        <v>2039</v>
      </c>
      <c r="N4" s="79" t="s">
        <v>2039</v>
      </c>
      <c r="O4" s="79" t="s">
        <v>2040</v>
      </c>
      <c r="P4" s="80" t="s">
        <v>2041</v>
      </c>
      <c r="Q4" s="79" t="s">
        <v>2042</v>
      </c>
      <c r="R4" s="81" t="s">
        <v>2042</v>
      </c>
      <c r="S4" s="79" t="s">
        <v>2043</v>
      </c>
      <c r="T4" s="82" t="s">
        <v>2044</v>
      </c>
      <c r="U4" s="83" t="s">
        <v>2045</v>
      </c>
      <c r="V4" s="84" t="s">
        <v>2046</v>
      </c>
      <c r="W4" s="82" t="s">
        <v>2047</v>
      </c>
      <c r="X4" s="13" t="s">
        <v>2047</v>
      </c>
      <c r="Y4" s="13" t="s">
        <v>2047</v>
      </c>
      <c r="Z4" s="13" t="s">
        <v>2047</v>
      </c>
      <c r="AA4" s="13" t="s">
        <v>2047</v>
      </c>
      <c r="AB4" s="13" t="s">
        <v>2047</v>
      </c>
      <c r="AC4" s="13" t="s">
        <v>2048</v>
      </c>
      <c r="AD4" s="13" t="s">
        <v>2049</v>
      </c>
      <c r="AE4" s="13" t="s">
        <v>2048</v>
      </c>
      <c r="AF4" s="13" t="s">
        <v>2048</v>
      </c>
      <c r="AG4" s="13" t="s">
        <v>2048</v>
      </c>
      <c r="AH4" s="103" t="s">
        <v>2050</v>
      </c>
      <c r="AI4" s="103" t="s">
        <v>2050</v>
      </c>
      <c r="AJ4" s="103" t="s">
        <v>2050</v>
      </c>
      <c r="AK4" s="103" t="s">
        <v>2050</v>
      </c>
      <c r="AL4" s="103" t="s">
        <v>2050</v>
      </c>
      <c r="AM4" s="103" t="s">
        <v>2050</v>
      </c>
      <c r="AN4" s="103" t="s">
        <v>2050</v>
      </c>
      <c r="AO4" s="103" t="s">
        <v>2050</v>
      </c>
      <c r="AP4" s="103" t="s">
        <v>2050</v>
      </c>
      <c r="AQ4" s="103" t="s">
        <v>2050</v>
      </c>
      <c r="AR4" s="103" t="s">
        <v>2050</v>
      </c>
      <c r="AS4" s="103" t="s">
        <v>2050</v>
      </c>
      <c r="AT4" s="103" t="s">
        <v>2050</v>
      </c>
      <c r="AU4" s="103" t="s">
        <v>2050</v>
      </c>
      <c r="AV4" s="103" t="s">
        <v>2050</v>
      </c>
      <c r="AW4" s="12" t="s">
        <v>2051</v>
      </c>
      <c r="AX4" s="12" t="s">
        <v>2051</v>
      </c>
      <c r="AY4" s="12" t="s">
        <v>2051</v>
      </c>
      <c r="AZ4" s="12" t="s">
        <v>2051</v>
      </c>
      <c r="BA4" s="12" t="s">
        <v>2051</v>
      </c>
      <c r="BB4" s="12" t="s">
        <v>2051</v>
      </c>
      <c r="BC4" s="12" t="s">
        <v>2051</v>
      </c>
      <c r="BD4" s="12" t="s">
        <v>2051</v>
      </c>
      <c r="BE4" s="12" t="s">
        <v>2051</v>
      </c>
      <c r="BF4" s="12" t="s">
        <v>2051</v>
      </c>
      <c r="BG4" s="103" t="s">
        <v>2050</v>
      </c>
      <c r="BH4" s="103" t="s">
        <v>2050</v>
      </c>
      <c r="BI4" s="13" t="s">
        <v>2052</v>
      </c>
      <c r="BJ4" s="59" t="s">
        <v>842</v>
      </c>
      <c r="BK4" s="13" t="s">
        <v>2052</v>
      </c>
      <c r="BL4" s="13" t="s">
        <v>2052</v>
      </c>
      <c r="BM4" s="13" t="s">
        <v>2052</v>
      </c>
      <c r="BN4" s="13" t="s">
        <v>2052</v>
      </c>
      <c r="BO4" s="59" t="s">
        <v>842</v>
      </c>
      <c r="BP4" s="13" t="s">
        <v>2052</v>
      </c>
      <c r="BQ4" s="13" t="s">
        <v>2052</v>
      </c>
      <c r="BR4" s="13" t="s">
        <v>2052</v>
      </c>
      <c r="BS4" s="105" t="s">
        <v>793</v>
      </c>
      <c r="BT4" s="13" t="s">
        <v>2053</v>
      </c>
      <c r="BU4" s="13" t="s">
        <v>2054</v>
      </c>
      <c r="BV4" s="38" t="s">
        <v>2055</v>
      </c>
      <c r="BW4" s="143" t="s">
        <v>2056</v>
      </c>
      <c r="BX4" s="143" t="s">
        <v>2056</v>
      </c>
      <c r="BY4" s="106" t="s">
        <v>751</v>
      </c>
      <c r="BZ4" s="143" t="s">
        <v>2056</v>
      </c>
      <c r="CA4" s="143" t="s">
        <v>2056</v>
      </c>
      <c r="CB4" s="143" t="s">
        <v>2056</v>
      </c>
      <c r="CC4" s="143" t="s">
        <v>2056</v>
      </c>
      <c r="CD4" s="143" t="s">
        <v>2056</v>
      </c>
      <c r="CE4" s="143" t="s">
        <v>2056</v>
      </c>
      <c r="CF4" s="106" t="s">
        <v>751</v>
      </c>
      <c r="CG4" s="143" t="s">
        <v>2056</v>
      </c>
      <c r="CH4" s="13" t="s">
        <v>2057</v>
      </c>
      <c r="CI4" s="160" t="s">
        <v>2058</v>
      </c>
      <c r="CJ4" s="38" t="s">
        <v>2056</v>
      </c>
      <c r="CK4" s="159" t="s">
        <v>18</v>
      </c>
      <c r="CL4" s="232" t="s">
        <v>2056</v>
      </c>
      <c r="CM4" s="90" t="s">
        <v>2059</v>
      </c>
      <c r="CN4" s="233" t="s">
        <v>2060</v>
      </c>
      <c r="CO4" s="208" t="s">
        <v>2061</v>
      </c>
      <c r="CP4" s="208" t="s">
        <v>2060</v>
      </c>
      <c r="CQ4" s="208" t="s">
        <v>2060</v>
      </c>
      <c r="CR4" s="236" t="s">
        <v>2062</v>
      </c>
      <c r="CS4" s="237" t="s">
        <v>2063</v>
      </c>
      <c r="CT4" s="208" t="s">
        <v>2064</v>
      </c>
      <c r="CU4" s="208" t="s">
        <v>2060</v>
      </c>
      <c r="CV4" s="208" t="s">
        <v>2060</v>
      </c>
      <c r="CW4" s="208" t="s">
        <v>2060</v>
      </c>
      <c r="CX4" s="208" t="s">
        <v>2060</v>
      </c>
      <c r="CY4" s="208" t="s">
        <v>2060</v>
      </c>
      <c r="CZ4" s="208" t="s">
        <v>2060</v>
      </c>
      <c r="DA4" s="208" t="s">
        <v>2060</v>
      </c>
      <c r="DB4" s="208" t="s">
        <v>2060</v>
      </c>
      <c r="DC4" s="208" t="s">
        <v>2060</v>
      </c>
      <c r="DD4" s="208" t="s">
        <v>2060</v>
      </c>
      <c r="DE4" s="207" t="s">
        <v>18</v>
      </c>
      <c r="DF4" s="207" t="s">
        <v>18</v>
      </c>
      <c r="DG4" s="207" t="s">
        <v>18</v>
      </c>
      <c r="DH4" s="208" t="s">
        <v>2060</v>
      </c>
      <c r="DI4" s="208" t="s">
        <v>2060</v>
      </c>
      <c r="DJ4" s="208" t="s">
        <v>2065</v>
      </c>
      <c r="DK4" s="208" t="s">
        <v>2065</v>
      </c>
      <c r="DL4" s="209" t="s">
        <v>2066</v>
      </c>
      <c r="DM4" s="270" t="s">
        <v>2067</v>
      </c>
      <c r="DN4" s="270" t="s">
        <v>2067</v>
      </c>
      <c r="DO4" s="270" t="s">
        <v>2068</v>
      </c>
      <c r="DP4" s="270" t="s">
        <v>2068</v>
      </c>
      <c r="DQ4" s="270" t="s">
        <v>2068</v>
      </c>
      <c r="DR4" s="271" t="s">
        <v>751</v>
      </c>
      <c r="DS4" s="90" t="s">
        <v>2069</v>
      </c>
      <c r="DT4" s="90" t="s">
        <v>2069</v>
      </c>
      <c r="DU4" s="90" t="s">
        <v>2069</v>
      </c>
      <c r="DV4" s="90" t="s">
        <v>2069</v>
      </c>
      <c r="DW4" s="90" t="s">
        <v>2070</v>
      </c>
      <c r="DX4" s="90" t="s">
        <v>2070</v>
      </c>
      <c r="DY4" s="90" t="s">
        <v>2070</v>
      </c>
      <c r="DZ4" s="90" t="s">
        <v>2070</v>
      </c>
      <c r="EA4" s="90" t="s">
        <v>2070</v>
      </c>
      <c r="EB4" s="90" t="s">
        <v>2070</v>
      </c>
      <c r="EC4" s="90" t="s">
        <v>2070</v>
      </c>
      <c r="ED4" s="91" t="s">
        <v>2071</v>
      </c>
      <c r="EE4" s="91" t="s">
        <v>2071</v>
      </c>
      <c r="EF4" s="269" t="s">
        <v>2072</v>
      </c>
      <c r="EG4" s="269" t="s">
        <v>2072</v>
      </c>
      <c r="EH4" s="269" t="s">
        <v>2072</v>
      </c>
      <c r="EI4" s="269" t="s">
        <v>2072</v>
      </c>
      <c r="EJ4" s="269" t="s">
        <v>2072</v>
      </c>
      <c r="EK4" s="269" t="s">
        <v>2072</v>
      </c>
      <c r="EL4" s="269" t="s">
        <v>2072</v>
      </c>
      <c r="EM4" s="269" t="s">
        <v>2072</v>
      </c>
      <c r="EN4" s="322" t="s">
        <v>18</v>
      </c>
      <c r="EO4" s="157" t="s">
        <v>18</v>
      </c>
      <c r="EP4" s="158" t="s">
        <v>2073</v>
      </c>
      <c r="EQ4" s="323" t="s">
        <v>18</v>
      </c>
      <c r="ER4" s="323" t="s">
        <v>18</v>
      </c>
      <c r="ES4" s="340" t="s">
        <v>2072</v>
      </c>
      <c r="ET4" s="339" t="s">
        <v>2074</v>
      </c>
      <c r="EU4" s="341" t="s">
        <v>2075</v>
      </c>
      <c r="EV4" s="269" t="s">
        <v>2076</v>
      </c>
      <c r="EW4" s="324" t="s">
        <v>787</v>
      </c>
      <c r="EX4" s="269" t="s">
        <v>2077</v>
      </c>
      <c r="EY4" s="269" t="s">
        <v>2078</v>
      </c>
      <c r="EZ4" s="269" t="s">
        <v>2079</v>
      </c>
      <c r="FA4" s="269" t="s">
        <v>2072</v>
      </c>
      <c r="FB4" s="269" t="s">
        <v>2072</v>
      </c>
      <c r="FC4" s="269" t="s">
        <v>2072</v>
      </c>
      <c r="FD4" s="360" t="s">
        <v>2080</v>
      </c>
      <c r="FE4" s="269" t="s">
        <v>2072</v>
      </c>
      <c r="FF4" s="269" t="s">
        <v>2072</v>
      </c>
      <c r="FG4" s="352" t="s">
        <v>2081</v>
      </c>
      <c r="FH4" s="269" t="s">
        <v>2082</v>
      </c>
      <c r="FI4" s="269" t="s">
        <v>2082</v>
      </c>
      <c r="FJ4" s="269" t="s">
        <v>2083</v>
      </c>
      <c r="FK4" s="269" t="s">
        <v>2083</v>
      </c>
      <c r="FL4" s="269" t="s">
        <v>2084</v>
      </c>
      <c r="FM4" s="269" t="s">
        <v>2085</v>
      </c>
      <c r="FN4" s="269" t="s">
        <v>2085</v>
      </c>
      <c r="FO4" s="269" t="s">
        <v>2085</v>
      </c>
      <c r="FP4" s="361" t="s">
        <v>787</v>
      </c>
      <c r="FQ4" s="269" t="s">
        <v>2085</v>
      </c>
      <c r="FR4" s="788" t="s">
        <v>2086</v>
      </c>
      <c r="FS4" s="788" t="s">
        <v>2086</v>
      </c>
      <c r="FT4" s="788" t="s">
        <v>2086</v>
      </c>
      <c r="FU4" s="788" t="s">
        <v>2086</v>
      </c>
      <c r="FV4" s="788" t="s">
        <v>2086</v>
      </c>
      <c r="FW4" s="788" t="s">
        <v>2086</v>
      </c>
      <c r="FX4" s="788" t="s">
        <v>2086</v>
      </c>
      <c r="FY4" s="788" t="s">
        <v>2086</v>
      </c>
      <c r="FZ4" s="788" t="s">
        <v>2086</v>
      </c>
      <c r="GA4" s="788" t="s">
        <v>2086</v>
      </c>
      <c r="GB4" s="269" t="s">
        <v>2087</v>
      </c>
      <c r="GC4" s="269" t="s">
        <v>2088</v>
      </c>
      <c r="GD4" s="269" t="s">
        <v>2088</v>
      </c>
      <c r="GE4" s="269" t="s">
        <v>2088</v>
      </c>
      <c r="GF4" s="269" t="s">
        <v>2088</v>
      </c>
      <c r="GG4" s="269" t="s">
        <v>2089</v>
      </c>
      <c r="GH4" s="269" t="s">
        <v>2089</v>
      </c>
      <c r="GI4" s="362" t="s">
        <v>2090</v>
      </c>
      <c r="GJ4" s="362" t="s">
        <v>2091</v>
      </c>
      <c r="GK4" s="269" t="s">
        <v>2092</v>
      </c>
      <c r="GL4" s="269" t="s">
        <v>2089</v>
      </c>
      <c r="GM4" s="269" t="s">
        <v>2089</v>
      </c>
      <c r="GN4" s="269" t="s">
        <v>2089</v>
      </c>
      <c r="GO4" s="269" t="s">
        <v>2089</v>
      </c>
      <c r="GP4" s="269" t="s">
        <v>2089</v>
      </c>
      <c r="GQ4" s="269" t="s">
        <v>2089</v>
      </c>
      <c r="GR4" s="269" t="s">
        <v>2089</v>
      </c>
      <c r="GS4" s="269" t="s">
        <v>2089</v>
      </c>
      <c r="GT4" s="269" t="s">
        <v>2089</v>
      </c>
      <c r="GU4" s="269" t="s">
        <v>2089</v>
      </c>
      <c r="GV4" s="269" t="s">
        <v>2089</v>
      </c>
      <c r="GW4" s="269" t="s">
        <v>2089</v>
      </c>
      <c r="GX4" s="638" t="s">
        <v>2093</v>
      </c>
      <c r="GY4" s="645" t="s">
        <v>2094</v>
      </c>
      <c r="GZ4" s="646" t="s">
        <v>2095</v>
      </c>
      <c r="HA4" s="340" t="s">
        <v>2096</v>
      </c>
      <c r="HB4" s="340" t="s">
        <v>2096</v>
      </c>
      <c r="HC4" s="340" t="s">
        <v>2096</v>
      </c>
      <c r="HD4" s="362" t="s">
        <v>2097</v>
      </c>
      <c r="HE4" s="340" t="s">
        <v>2098</v>
      </c>
      <c r="HF4" s="340" t="s">
        <v>2098</v>
      </c>
      <c r="HG4" s="340" t="s">
        <v>2098</v>
      </c>
      <c r="HH4" s="340" t="s">
        <v>2099</v>
      </c>
      <c r="HI4" s="340" t="s">
        <v>2100</v>
      </c>
      <c r="HJ4" s="340" t="s">
        <v>2100</v>
      </c>
      <c r="HK4" s="340" t="s">
        <v>2100</v>
      </c>
      <c r="HL4" s="340" t="s">
        <v>2100</v>
      </c>
      <c r="HM4" s="340" t="s">
        <v>2100</v>
      </c>
      <c r="HN4" s="340" t="s">
        <v>2100</v>
      </c>
      <c r="HO4" s="91" t="s">
        <v>2101</v>
      </c>
      <c r="HP4" s="91" t="s">
        <v>2101</v>
      </c>
      <c r="HQ4" s="91" t="s">
        <v>2101</v>
      </c>
      <c r="HR4" s="680" t="s">
        <v>793</v>
      </c>
      <c r="HS4" s="686" t="s">
        <v>2102</v>
      </c>
      <c r="HT4" s="91" t="s">
        <v>2103</v>
      </c>
      <c r="HU4" s="91" t="s">
        <v>2104</v>
      </c>
      <c r="HV4" s="91" t="s">
        <v>2104</v>
      </c>
      <c r="HW4" s="91" t="s">
        <v>2104</v>
      </c>
      <c r="HX4" s="91" t="s">
        <v>2105</v>
      </c>
      <c r="HY4" s="91" t="s">
        <v>2105</v>
      </c>
      <c r="HZ4" s="91" t="s">
        <v>2105</v>
      </c>
      <c r="IA4" s="91" t="s">
        <v>2105</v>
      </c>
      <c r="IB4" s="91" t="s">
        <v>2105</v>
      </c>
      <c r="IC4" s="91" t="s">
        <v>2105</v>
      </c>
      <c r="ID4" s="91" t="s">
        <v>2105</v>
      </c>
      <c r="IE4" s="91" t="s">
        <v>2105</v>
      </c>
      <c r="IF4" s="91" t="s">
        <v>2105</v>
      </c>
      <c r="IG4" s="91" t="s">
        <v>2105</v>
      </c>
      <c r="IH4" s="91" t="s">
        <v>2105</v>
      </c>
      <c r="II4" s="91" t="s">
        <v>2105</v>
      </c>
      <c r="IJ4" s="390" t="s">
        <v>815</v>
      </c>
      <c r="IK4" s="390" t="s">
        <v>815</v>
      </c>
      <c r="IL4" s="91" t="s">
        <v>2105</v>
      </c>
      <c r="IM4" s="390" t="s">
        <v>2106</v>
      </c>
      <c r="IN4" s="735" t="s">
        <v>1218</v>
      </c>
      <c r="IO4" s="649" t="s">
        <v>819</v>
      </c>
      <c r="IP4" s="91" t="s">
        <v>2105</v>
      </c>
      <c r="IQ4" s="91" t="s">
        <v>2105</v>
      </c>
      <c r="IR4" s="91" t="s">
        <v>2105</v>
      </c>
      <c r="IS4" s="91" t="s">
        <v>2105</v>
      </c>
      <c r="IT4" s="91" t="s">
        <v>2105</v>
      </c>
      <c r="IU4" s="91" t="s">
        <v>2105</v>
      </c>
      <c r="IV4" s="91" t="s">
        <v>2105</v>
      </c>
      <c r="IW4" s="91" t="s">
        <v>2105</v>
      </c>
      <c r="IX4" s="91" t="s">
        <v>2105</v>
      </c>
      <c r="IY4" s="91" t="s">
        <v>2107</v>
      </c>
      <c r="IZ4" s="91" t="s">
        <v>2108</v>
      </c>
      <c r="JA4" s="91" t="s">
        <v>2107</v>
      </c>
      <c r="JB4" s="91" t="s">
        <v>2107</v>
      </c>
      <c r="JC4" s="765" t="s">
        <v>1971</v>
      </c>
      <c r="JD4" s="91" t="s">
        <v>2107</v>
      </c>
      <c r="JE4" s="91" t="s">
        <v>2109</v>
      </c>
      <c r="JF4" s="91" t="s">
        <v>2109</v>
      </c>
      <c r="JG4" s="91" t="s">
        <v>2109</v>
      </c>
      <c r="JH4" s="91" t="s">
        <v>2109</v>
      </c>
      <c r="JI4" s="91" t="s">
        <v>2109</v>
      </c>
      <c r="JJ4" s="91" t="s">
        <v>2109</v>
      </c>
      <c r="JK4" s="91" t="s">
        <v>2110</v>
      </c>
      <c r="JL4" s="91" t="s">
        <v>2110</v>
      </c>
      <c r="JM4" s="785" t="s">
        <v>2111</v>
      </c>
      <c r="JN4" s="785" t="s">
        <v>2111</v>
      </c>
      <c r="JO4" s="785" t="s">
        <v>2112</v>
      </c>
      <c r="JP4" s="786" t="s">
        <v>2113</v>
      </c>
      <c r="JQ4" s="785" t="s">
        <v>2114</v>
      </c>
      <c r="JR4" s="785" t="s">
        <v>2115</v>
      </c>
      <c r="JS4" s="795" t="s">
        <v>2116</v>
      </c>
      <c r="JT4" s="795" t="s">
        <v>2116</v>
      </c>
      <c r="JU4" s="795" t="s">
        <v>2116</v>
      </c>
      <c r="JV4" s="795" t="s">
        <v>2116</v>
      </c>
      <c r="JW4" s="795" t="s">
        <v>2116</v>
      </c>
      <c r="JX4" s="795" t="s">
        <v>2116</v>
      </c>
      <c r="JY4" s="795" t="s">
        <v>2116</v>
      </c>
      <c r="JZ4" s="795" t="s">
        <v>2116</v>
      </c>
      <c r="KA4" s="795" t="s">
        <v>2116</v>
      </c>
      <c r="KB4" s="795" t="s">
        <v>2116</v>
      </c>
      <c r="KC4" s="787" t="s">
        <v>833</v>
      </c>
      <c r="KD4" s="785" t="s">
        <v>2114</v>
      </c>
      <c r="KE4" s="785" t="s">
        <v>2114</v>
      </c>
      <c r="KF4" s="785" t="s">
        <v>2114</v>
      </c>
      <c r="KG4" s="785" t="s">
        <v>2114</v>
      </c>
      <c r="KH4" s="785" t="s">
        <v>2114</v>
      </c>
      <c r="KI4" s="785" t="s">
        <v>2114</v>
      </c>
      <c r="KJ4" s="89"/>
      <c r="KK4" s="789"/>
      <c r="KL4" s="789"/>
      <c r="KM4" s="89"/>
      <c r="KN4" s="89"/>
      <c r="KO4" s="89"/>
      <c r="KP4" s="89"/>
      <c r="KQ4" s="89"/>
      <c r="KR4" s="790" t="s">
        <v>2117</v>
      </c>
      <c r="KS4" s="765" t="s">
        <v>2117</v>
      </c>
      <c r="KT4" s="765" t="s">
        <v>2117</v>
      </c>
      <c r="KU4" s="765" t="s">
        <v>2117</v>
      </c>
      <c r="KV4" s="765" t="s">
        <v>2117</v>
      </c>
      <c r="KW4" s="790" t="s">
        <v>2117</v>
      </c>
      <c r="KX4" s="765" t="s">
        <v>2117</v>
      </c>
      <c r="KY4" s="765" t="s">
        <v>2117</v>
      </c>
      <c r="KZ4" s="765" t="s">
        <v>2117</v>
      </c>
      <c r="LA4" s="765" t="s">
        <v>2117</v>
      </c>
      <c r="LB4" s="89"/>
      <c r="LC4" s="89"/>
      <c r="LD4" s="89"/>
      <c r="LE4" s="89"/>
      <c r="LF4" s="89"/>
      <c r="LG4" s="89"/>
      <c r="LH4" s="89"/>
      <c r="LI4" s="89"/>
      <c r="LJ4" s="89"/>
      <c r="LK4" s="89"/>
      <c r="LL4" s="89"/>
      <c r="LM4" s="89"/>
      <c r="LN4" s="89"/>
      <c r="LO4" s="89"/>
      <c r="LP4" s="89"/>
      <c r="LQ4" s="89"/>
      <c r="LR4" s="89"/>
      <c r="LS4" s="89"/>
      <c r="LT4" s="89"/>
      <c r="LU4" s="89"/>
      <c r="LV4" s="89"/>
      <c r="LW4" s="89"/>
    </row>
    <row r="5" spans="1:335">
      <c r="DS5" s="66" t="s">
        <v>2118</v>
      </c>
      <c r="DT5" s="66" t="s">
        <v>2118</v>
      </c>
      <c r="DU5" s="66" t="s">
        <v>2119</v>
      </c>
      <c r="DV5" s="66" t="s">
        <v>2119</v>
      </c>
      <c r="DW5" s="66" t="s">
        <v>2119</v>
      </c>
      <c r="DX5" s="66" t="s">
        <v>2119</v>
      </c>
      <c r="DY5" s="66" t="s">
        <v>2120</v>
      </c>
      <c r="DZ5" s="66" t="s">
        <v>2120</v>
      </c>
      <c r="EA5" s="66" t="s">
        <v>2120</v>
      </c>
      <c r="GJ5" s="367"/>
    </row>
    <row r="6" spans="1:335" ht="174">
      <c r="EB6" s="269" t="s">
        <v>2121</v>
      </c>
      <c r="EQ6" s="269"/>
      <c r="ER6" s="269"/>
      <c r="ES6" s="91"/>
      <c r="EV6" s="289" t="s">
        <v>2122</v>
      </c>
      <c r="EX6" s="66" t="s">
        <v>2123</v>
      </c>
      <c r="FG6" s="290" t="s">
        <v>2124</v>
      </c>
      <c r="FY6" s="289"/>
      <c r="HG6" s="77"/>
      <c r="HH6" s="663"/>
      <c r="HI6" s="664"/>
      <c r="IR6" s="89" t="s">
        <v>2125</v>
      </c>
      <c r="IS6" s="637" t="s">
        <v>2126</v>
      </c>
      <c r="IT6" s="363" t="s">
        <v>2127</v>
      </c>
    </row>
    <row r="7" spans="1:335" ht="57.75">
      <c r="EY7" s="66" t="s">
        <v>2128</v>
      </c>
      <c r="FA7" s="66" t="s">
        <v>2129</v>
      </c>
      <c r="FY7" s="289" t="s">
        <v>2130</v>
      </c>
    </row>
    <row r="8" spans="1:335">
      <c r="FB8" s="343" t="s">
        <v>2131</v>
      </c>
      <c r="FC8" s="66" t="s">
        <v>2128</v>
      </c>
      <c r="FE8" s="66" t="s">
        <v>2129</v>
      </c>
    </row>
    <row r="9" spans="1:335">
      <c r="FF9" s="343" t="s">
        <v>2132</v>
      </c>
      <c r="FG9" s="66" t="s">
        <v>2128</v>
      </c>
      <c r="FI9" s="66" t="s">
        <v>2129</v>
      </c>
    </row>
  </sheetData>
  <conditionalFormatting sqref="X1:CJ2 CK1:LS1">
    <cfRule type="containsText" dxfId="10" priority="11" operator="containsText" text="Jess">
      <formula>NOT(ISERROR(SEARCH("Jess",X1)))</formula>
    </cfRule>
  </conditionalFormatting>
  <conditionalFormatting sqref="CK2:CO2">
    <cfRule type="containsText" dxfId="9" priority="10" operator="containsText" text="Jess">
      <formula>NOT(ISERROR(SEARCH("Jess",CK2)))</formula>
    </cfRule>
  </conditionalFormatting>
  <conditionalFormatting sqref="CP2:CT2">
    <cfRule type="containsText" dxfId="8" priority="9" operator="containsText" text="Jess">
      <formula>NOT(ISERROR(SEARCH("Jess",CP2)))</formula>
    </cfRule>
  </conditionalFormatting>
  <conditionalFormatting sqref="CU2:CY2">
    <cfRule type="containsText" dxfId="7" priority="8" operator="containsText" text="Jess">
      <formula>NOT(ISERROR(SEARCH("Jess",CU2)))</formula>
    </cfRule>
  </conditionalFormatting>
  <conditionalFormatting sqref="CZ2:DD2">
    <cfRule type="containsText" dxfId="6" priority="7" operator="containsText" text="Jess">
      <formula>NOT(ISERROR(SEARCH("Jess",CZ2)))</formula>
    </cfRule>
  </conditionalFormatting>
  <conditionalFormatting sqref="DE2:DI2">
    <cfRule type="containsText" dxfId="5" priority="6" operator="containsText" text="Jess">
      <formula>NOT(ISERROR(SEARCH("Jess",DE2)))</formula>
    </cfRule>
  </conditionalFormatting>
  <conditionalFormatting sqref="DJ2:DN2">
    <cfRule type="containsText" dxfId="4" priority="5" operator="containsText" text="Jess">
      <formula>NOT(ISERROR(SEARCH("Jess",DJ2)))</formula>
    </cfRule>
  </conditionalFormatting>
  <conditionalFormatting sqref="DO2:DS2">
    <cfRule type="containsText" dxfId="3" priority="4" operator="containsText" text="Jess">
      <formula>NOT(ISERROR(SEARCH("Jess",DO2)))</formula>
    </cfRule>
  </conditionalFormatting>
  <conditionalFormatting sqref="DT2:DX2">
    <cfRule type="containsText" dxfId="2" priority="3" operator="containsText" text="Jess">
      <formula>NOT(ISERROR(SEARCH("Jess",DT2)))</formula>
    </cfRule>
  </conditionalFormatting>
  <conditionalFormatting sqref="DY2:EC2">
    <cfRule type="containsText" dxfId="1" priority="2" operator="containsText" text="Jess">
      <formula>NOT(ISERROR(SEARCH("Jess",DY2)))</formula>
    </cfRule>
  </conditionalFormatting>
  <conditionalFormatting sqref="ED2:LP2">
    <cfRule type="containsText" dxfId="0" priority="1" operator="containsText" text="Jess">
      <formula>NOT(ISERROR(SEARCH("Jess",ED2)))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D234-808E-4CE0-AF58-60E8790BCB91}">
  <dimension ref="A1:AAJ3"/>
  <sheetViews>
    <sheetView topLeftCell="AY1" workbookViewId="0">
      <selection activeCell="DJ1" sqref="DJ1"/>
    </sheetView>
  </sheetViews>
  <sheetFormatPr defaultColWidth="9.125" defaultRowHeight="15.75"/>
  <cols>
    <col min="1" max="1" width="10.625" bestFit="1" customWidth="1"/>
    <col min="2" max="2" width="7.625" bestFit="1" customWidth="1"/>
    <col min="3" max="3" width="10.375" bestFit="1" customWidth="1"/>
    <col min="4" max="4" width="8.25" bestFit="1" customWidth="1"/>
    <col min="5" max="5" width="5.875" bestFit="1" customWidth="1"/>
    <col min="6" max="6" width="7.25" bestFit="1" customWidth="1"/>
    <col min="7" max="7" width="7.625" bestFit="1" customWidth="1"/>
    <col min="8" max="8" width="10.375" bestFit="1" customWidth="1"/>
    <col min="9" max="9" width="8.25" bestFit="1" customWidth="1"/>
    <col min="10" max="10" width="6.875" bestFit="1" customWidth="1"/>
    <col min="11" max="11" width="7.25" bestFit="1" customWidth="1"/>
    <col min="12" max="12" width="7.625" bestFit="1" customWidth="1"/>
    <col min="13" max="13" width="10.375" bestFit="1" customWidth="1"/>
    <col min="14" max="14" width="8.25" bestFit="1" customWidth="1"/>
    <col min="15" max="15" width="6.875" bestFit="1" customWidth="1"/>
    <col min="16" max="16" width="7.25" bestFit="1" customWidth="1"/>
    <col min="17" max="17" width="7.625" bestFit="1" customWidth="1"/>
    <col min="18" max="18" width="10.375" bestFit="1" customWidth="1"/>
    <col min="19" max="19" width="8.25" bestFit="1" customWidth="1"/>
    <col min="20" max="20" width="6.875" bestFit="1" customWidth="1"/>
    <col min="21" max="21" width="7.25" bestFit="1" customWidth="1"/>
    <col min="22" max="22" width="7.625" bestFit="1" customWidth="1"/>
    <col min="23" max="23" width="10.375" bestFit="1" customWidth="1"/>
    <col min="24" max="24" width="8.25" bestFit="1" customWidth="1"/>
    <col min="25" max="25" width="5.875" bestFit="1" customWidth="1"/>
    <col min="26" max="26" width="7.25" bestFit="1" customWidth="1"/>
    <col min="27" max="27" width="7.625" bestFit="1" customWidth="1"/>
    <col min="28" max="28" width="10.375" bestFit="1" customWidth="1"/>
    <col min="29" max="29" width="8.25" bestFit="1" customWidth="1"/>
    <col min="30" max="30" width="5.875" bestFit="1" customWidth="1"/>
    <col min="31" max="31" width="7.25" bestFit="1" customWidth="1"/>
    <col min="32" max="32" width="7.625" bestFit="1" customWidth="1"/>
    <col min="33" max="33" width="10.375" bestFit="1" customWidth="1"/>
    <col min="34" max="34" width="8.25" bestFit="1" customWidth="1"/>
    <col min="35" max="35" width="6.25" bestFit="1" customWidth="1"/>
    <col min="36" max="36" width="7.25" bestFit="1" customWidth="1"/>
    <col min="37" max="37" width="7.625" bestFit="1" customWidth="1"/>
    <col min="38" max="38" width="10.375" bestFit="1" customWidth="1"/>
    <col min="39" max="39" width="8.25" bestFit="1" customWidth="1"/>
    <col min="40" max="40" width="6.25" bestFit="1" customWidth="1"/>
    <col min="41" max="41" width="11.375" bestFit="1" customWidth="1"/>
    <col min="42" max="42" width="7.625" bestFit="1" customWidth="1"/>
    <col min="43" max="43" width="10.375" bestFit="1" customWidth="1"/>
    <col min="44" max="44" width="8.25" bestFit="1" customWidth="1"/>
    <col min="45" max="45" width="6.25" bestFit="1" customWidth="1"/>
    <col min="46" max="46" width="7.25" bestFit="1" customWidth="1"/>
    <col min="47" max="47" width="7.625" bestFit="1" customWidth="1"/>
    <col min="48" max="48" width="10.375" bestFit="1" customWidth="1"/>
    <col min="49" max="49" width="8.25" bestFit="1" customWidth="1"/>
    <col min="50" max="50" width="5.875" bestFit="1" customWidth="1"/>
    <col min="51" max="51" width="7.25" bestFit="1" customWidth="1"/>
    <col min="52" max="52" width="7.625" bestFit="1" customWidth="1"/>
    <col min="53" max="53" width="10.375" bestFit="1" customWidth="1"/>
    <col min="54" max="54" width="8.25" bestFit="1" customWidth="1"/>
    <col min="55" max="55" width="6.625" bestFit="1" customWidth="1"/>
    <col min="56" max="56" width="7.25" bestFit="1" customWidth="1"/>
    <col min="57" max="57" width="7.625" bestFit="1" customWidth="1"/>
    <col min="58" max="58" width="10.375" bestFit="1" customWidth="1"/>
    <col min="59" max="59" width="8.25" bestFit="1" customWidth="1"/>
    <col min="60" max="60" width="6.625" bestFit="1" customWidth="1"/>
    <col min="61" max="61" width="7.25" bestFit="1" customWidth="1"/>
    <col min="62" max="62" width="7.625" bestFit="1" customWidth="1"/>
    <col min="63" max="63" width="10.375" bestFit="1" customWidth="1"/>
    <col min="64" max="64" width="8.25" bestFit="1" customWidth="1"/>
    <col min="65" max="65" width="6.625" bestFit="1" customWidth="1"/>
    <col min="66" max="66" width="7.25" bestFit="1" customWidth="1"/>
    <col min="67" max="67" width="7.625" bestFit="1" customWidth="1"/>
    <col min="68" max="68" width="10.375" bestFit="1" customWidth="1"/>
    <col min="69" max="69" width="8.25" bestFit="1" customWidth="1"/>
    <col min="70" max="70" width="5.875" bestFit="1" customWidth="1"/>
    <col min="71" max="71" width="7.25" bestFit="1" customWidth="1"/>
    <col min="72" max="72" width="7.625" bestFit="1" customWidth="1"/>
    <col min="73" max="73" width="10.375" bestFit="1" customWidth="1"/>
    <col min="74" max="74" width="8.25" bestFit="1" customWidth="1"/>
    <col min="75" max="75" width="6.625" bestFit="1" customWidth="1"/>
    <col min="76" max="76" width="7.25" bestFit="1" customWidth="1"/>
    <col min="77" max="77" width="7.625" bestFit="1" customWidth="1"/>
    <col min="78" max="78" width="10.375" bestFit="1" customWidth="1"/>
    <col min="79" max="79" width="8.25" bestFit="1" customWidth="1"/>
    <col min="80" max="80" width="6.625" bestFit="1" customWidth="1"/>
    <col min="81" max="81" width="7.25" bestFit="1" customWidth="1"/>
    <col min="82" max="82" width="7.625" bestFit="1" customWidth="1"/>
    <col min="83" max="83" width="10.375" bestFit="1" customWidth="1"/>
    <col min="84" max="84" width="8.25" bestFit="1" customWidth="1"/>
    <col min="85" max="85" width="6.625" bestFit="1" customWidth="1"/>
    <col min="86" max="86" width="7.25" bestFit="1" customWidth="1"/>
    <col min="87" max="87" width="7.625" bestFit="1" customWidth="1"/>
    <col min="88" max="88" width="10.375" bestFit="1" customWidth="1"/>
    <col min="89" max="89" width="8.25" bestFit="1" customWidth="1"/>
    <col min="90" max="90" width="5.875" bestFit="1" customWidth="1"/>
    <col min="91" max="91" width="7.25" bestFit="1" customWidth="1"/>
    <col min="92" max="92" width="7.625" bestFit="1" customWidth="1"/>
    <col min="93" max="93" width="10.375" bestFit="1" customWidth="1"/>
    <col min="94" max="94" width="8.25" bestFit="1" customWidth="1"/>
    <col min="95" max="95" width="6.375" bestFit="1" customWidth="1"/>
    <col min="96" max="96" width="7.25" bestFit="1" customWidth="1"/>
    <col min="97" max="97" width="7.625" bestFit="1" customWidth="1"/>
    <col min="98" max="98" width="10.375" bestFit="1" customWidth="1"/>
    <col min="99" max="99" width="8.25" bestFit="1" customWidth="1"/>
    <col min="100" max="100" width="6.375" bestFit="1" customWidth="1"/>
    <col min="101" max="101" width="7.25" bestFit="1" customWidth="1"/>
    <col min="102" max="102" width="7.625" bestFit="1" customWidth="1"/>
    <col min="103" max="103" width="10.375" bestFit="1" customWidth="1"/>
    <col min="104" max="104" width="8.25" bestFit="1" customWidth="1"/>
    <col min="105" max="105" width="6.375" bestFit="1" customWidth="1"/>
    <col min="106" max="106" width="7.25" bestFit="1" customWidth="1"/>
    <col min="107" max="107" width="7.625" bestFit="1" customWidth="1"/>
    <col min="108" max="108" width="10.375" bestFit="1" customWidth="1"/>
    <col min="109" max="109" width="8.25" bestFit="1" customWidth="1"/>
    <col min="110" max="110" width="5.875" bestFit="1" customWidth="1"/>
    <col min="111" max="111" width="7.25" bestFit="1" customWidth="1"/>
    <col min="112" max="112" width="7.625" bestFit="1" customWidth="1"/>
    <col min="113" max="113" width="10.375" bestFit="1" customWidth="1"/>
    <col min="114" max="114" width="8.25" bestFit="1" customWidth="1"/>
    <col min="115" max="115" width="5.875" bestFit="1" customWidth="1"/>
    <col min="116" max="116" width="7.25" bestFit="1" customWidth="1"/>
    <col min="117" max="117" width="7.625" bestFit="1" customWidth="1"/>
    <col min="118" max="118" width="10.375" bestFit="1" customWidth="1"/>
    <col min="119" max="119" width="8.25" bestFit="1" customWidth="1"/>
    <col min="120" max="120" width="6.875" bestFit="1" customWidth="1"/>
    <col min="121" max="121" width="7.25" bestFit="1" customWidth="1"/>
    <col min="122" max="122" width="7.625" bestFit="1" customWidth="1"/>
    <col min="123" max="123" width="10.375" bestFit="1" customWidth="1"/>
    <col min="124" max="124" width="8.25" bestFit="1" customWidth="1"/>
    <col min="125" max="125" width="6.875" bestFit="1" customWidth="1"/>
    <col min="126" max="126" width="7.25" bestFit="1" customWidth="1"/>
    <col min="127" max="127" width="7.625" bestFit="1" customWidth="1"/>
    <col min="128" max="128" width="10.375" bestFit="1" customWidth="1"/>
    <col min="129" max="129" width="8.25" bestFit="1" customWidth="1"/>
    <col min="130" max="130" width="6.875" bestFit="1" customWidth="1"/>
    <col min="131" max="131" width="7.25" bestFit="1" customWidth="1"/>
    <col min="132" max="132" width="7.625" bestFit="1" customWidth="1"/>
    <col min="133" max="133" width="10.375" bestFit="1" customWidth="1"/>
    <col min="134" max="134" width="8.25" bestFit="1" customWidth="1"/>
    <col min="135" max="135" width="5.875" bestFit="1" customWidth="1"/>
    <col min="136" max="136" width="7.25" bestFit="1" customWidth="1"/>
    <col min="137" max="137" width="7.625" bestFit="1" customWidth="1"/>
    <col min="138" max="138" width="10.375" bestFit="1" customWidth="1"/>
    <col min="139" max="139" width="8.25" bestFit="1" customWidth="1"/>
    <col min="140" max="140" width="6.25" bestFit="1" customWidth="1"/>
    <col min="141" max="141" width="7.25" bestFit="1" customWidth="1"/>
    <col min="142" max="142" width="7.625" bestFit="1" customWidth="1"/>
    <col min="143" max="143" width="10.375" bestFit="1" customWidth="1"/>
    <col min="144" max="144" width="8.25" bestFit="1" customWidth="1"/>
    <col min="145" max="145" width="6.25" bestFit="1" customWidth="1"/>
    <col min="146" max="146" width="7.25" bestFit="1" customWidth="1"/>
    <col min="147" max="147" width="7.625" bestFit="1" customWidth="1"/>
    <col min="148" max="148" width="10.375" bestFit="1" customWidth="1"/>
    <col min="149" max="149" width="8.25" bestFit="1" customWidth="1"/>
    <col min="150" max="150" width="6.25" bestFit="1" customWidth="1"/>
    <col min="151" max="151" width="7.25" bestFit="1" customWidth="1"/>
    <col min="152" max="152" width="7.625" bestFit="1" customWidth="1"/>
    <col min="153" max="153" width="10.375" bestFit="1" customWidth="1"/>
    <col min="154" max="154" width="8.25" bestFit="1" customWidth="1"/>
    <col min="155" max="155" width="5.875" bestFit="1" customWidth="1"/>
    <col min="156" max="156" width="7.25" bestFit="1" customWidth="1"/>
    <col min="157" max="157" width="7.625" bestFit="1" customWidth="1"/>
    <col min="158" max="158" width="10.375" bestFit="1" customWidth="1"/>
    <col min="159" max="159" width="8.25" bestFit="1" customWidth="1"/>
    <col min="160" max="160" width="5.875" bestFit="1" customWidth="1"/>
    <col min="161" max="161" width="7.25" bestFit="1" customWidth="1"/>
    <col min="162" max="162" width="7.625" bestFit="1" customWidth="1"/>
    <col min="163" max="163" width="10.375" bestFit="1" customWidth="1"/>
    <col min="164" max="164" width="8.25" bestFit="1" customWidth="1"/>
    <col min="165" max="165" width="5.875" bestFit="1" customWidth="1"/>
    <col min="166" max="166" width="7.25" bestFit="1" customWidth="1"/>
    <col min="167" max="167" width="7.625" bestFit="1" customWidth="1"/>
    <col min="168" max="168" width="10.375" bestFit="1" customWidth="1"/>
    <col min="169" max="169" width="8.25" bestFit="1" customWidth="1"/>
    <col min="170" max="170" width="5.875" bestFit="1" customWidth="1"/>
    <col min="171" max="171" width="7.25" bestFit="1" customWidth="1"/>
    <col min="172" max="172" width="7.625" bestFit="1" customWidth="1"/>
    <col min="173" max="173" width="10.375" bestFit="1" customWidth="1"/>
    <col min="174" max="174" width="8.25" bestFit="1" customWidth="1"/>
    <col min="175" max="175" width="5.875" bestFit="1" customWidth="1"/>
    <col min="176" max="176" width="7.25" bestFit="1" customWidth="1"/>
    <col min="177" max="177" width="7.625" bestFit="1" customWidth="1"/>
    <col min="178" max="178" width="10.375" bestFit="1" customWidth="1"/>
    <col min="179" max="179" width="8.25" bestFit="1" customWidth="1"/>
    <col min="180" max="180" width="5.875" bestFit="1" customWidth="1"/>
    <col min="181" max="181" width="7.25" bestFit="1" customWidth="1"/>
    <col min="182" max="182" width="7.625" bestFit="1" customWidth="1"/>
    <col min="183" max="183" width="10.375" bestFit="1" customWidth="1"/>
    <col min="184" max="184" width="8.25" bestFit="1" customWidth="1"/>
    <col min="185" max="185" width="6.625" bestFit="1" customWidth="1"/>
    <col min="186" max="186" width="7.25" bestFit="1" customWidth="1"/>
    <col min="187" max="187" width="7.625" bestFit="1" customWidth="1"/>
    <col min="188" max="188" width="10.375" bestFit="1" customWidth="1"/>
    <col min="189" max="189" width="8.25" bestFit="1" customWidth="1"/>
    <col min="190" max="190" width="6.625" bestFit="1" customWidth="1"/>
    <col min="191" max="191" width="7.25" bestFit="1" customWidth="1"/>
    <col min="192" max="192" width="7.625" bestFit="1" customWidth="1"/>
    <col min="193" max="193" width="10.375" bestFit="1" customWidth="1"/>
    <col min="194" max="194" width="8.25" bestFit="1" customWidth="1"/>
    <col min="195" max="195" width="6.625" bestFit="1" customWidth="1"/>
    <col min="196" max="196" width="7.25" bestFit="1" customWidth="1"/>
    <col min="197" max="197" width="7.625" bestFit="1" customWidth="1"/>
    <col min="198" max="198" width="10.375" bestFit="1" customWidth="1"/>
    <col min="199" max="199" width="8.25" bestFit="1" customWidth="1"/>
    <col min="200" max="200" width="5.875" bestFit="1" customWidth="1"/>
    <col min="201" max="201" width="7.25" bestFit="1" customWidth="1"/>
    <col min="202" max="202" width="7.625" bestFit="1" customWidth="1"/>
    <col min="203" max="203" width="10.375" bestFit="1" customWidth="1"/>
    <col min="204" max="204" width="8.25" bestFit="1" customWidth="1"/>
    <col min="205" max="205" width="6.625" bestFit="1" customWidth="1"/>
    <col min="206" max="206" width="7.25" bestFit="1" customWidth="1"/>
    <col min="207" max="207" width="7.625" bestFit="1" customWidth="1"/>
    <col min="208" max="208" width="10.375" bestFit="1" customWidth="1"/>
    <col min="209" max="209" width="8.25" bestFit="1" customWidth="1"/>
    <col min="210" max="210" width="6.625" bestFit="1" customWidth="1"/>
    <col min="211" max="211" width="7.25" bestFit="1" customWidth="1"/>
    <col min="212" max="212" width="7.625" bestFit="1" customWidth="1"/>
    <col min="213" max="213" width="10.375" bestFit="1" customWidth="1"/>
    <col min="214" max="214" width="8.25" bestFit="1" customWidth="1"/>
    <col min="215" max="215" width="6.625" bestFit="1" customWidth="1"/>
    <col min="216" max="216" width="7.25" bestFit="1" customWidth="1"/>
    <col min="217" max="217" width="7.625" bestFit="1" customWidth="1"/>
    <col min="218" max="218" width="10.375" bestFit="1" customWidth="1"/>
    <col min="219" max="219" width="8.25" bestFit="1" customWidth="1"/>
    <col min="220" max="220" width="11.375" bestFit="1" customWidth="1"/>
    <col min="221" max="221" width="7.25" bestFit="1" customWidth="1"/>
    <col min="222" max="222" width="7.625" bestFit="1" customWidth="1"/>
    <col min="223" max="223" width="10.375" bestFit="1" customWidth="1"/>
    <col min="224" max="224" width="8.25" bestFit="1" customWidth="1"/>
    <col min="225" max="225" width="5.875" bestFit="1" customWidth="1"/>
    <col min="226" max="226" width="7.25" bestFit="1" customWidth="1"/>
    <col min="227" max="227" width="7.625" bestFit="1" customWidth="1"/>
    <col min="228" max="228" width="10.375" bestFit="1" customWidth="1"/>
    <col min="229" max="229" width="8.25" bestFit="1" customWidth="1"/>
    <col min="230" max="230" width="6.5" bestFit="1" customWidth="1"/>
    <col min="231" max="231" width="7.25" bestFit="1" customWidth="1"/>
    <col min="232" max="232" width="7.625" bestFit="1" customWidth="1"/>
    <col min="233" max="233" width="10.375" bestFit="1" customWidth="1"/>
    <col min="234" max="234" width="8.25" bestFit="1" customWidth="1"/>
    <col min="235" max="235" width="6.5" bestFit="1" customWidth="1"/>
    <col min="236" max="236" width="7.25" bestFit="1" customWidth="1"/>
    <col min="237" max="237" width="7.625" bestFit="1" customWidth="1"/>
    <col min="238" max="238" width="10.375" bestFit="1" customWidth="1"/>
    <col min="239" max="239" width="8.25" bestFit="1" customWidth="1"/>
    <col min="240" max="240" width="6.5" bestFit="1" customWidth="1"/>
    <col min="241" max="241" width="7.25" bestFit="1" customWidth="1"/>
    <col min="242" max="242" width="7.625" bestFit="1" customWidth="1"/>
    <col min="243" max="243" width="10.375" bestFit="1" customWidth="1"/>
    <col min="244" max="244" width="8.25" bestFit="1" customWidth="1"/>
    <col min="245" max="245" width="5.875" bestFit="1" customWidth="1"/>
    <col min="246" max="246" width="7.25" bestFit="1" customWidth="1"/>
    <col min="247" max="247" width="7.625" bestFit="1" customWidth="1"/>
    <col min="248" max="248" width="10.375" bestFit="1" customWidth="1"/>
    <col min="249" max="249" width="8.25" bestFit="1" customWidth="1"/>
    <col min="250" max="250" width="6.75" bestFit="1" customWidth="1"/>
    <col min="251" max="251" width="7.25" bestFit="1" customWidth="1"/>
    <col min="252" max="252" width="7.625" bestFit="1" customWidth="1"/>
    <col min="253" max="253" width="10.375" bestFit="1" customWidth="1"/>
    <col min="254" max="254" width="8.25" bestFit="1" customWidth="1"/>
    <col min="255" max="255" width="6.75" bestFit="1" customWidth="1"/>
    <col min="256" max="256" width="7.25" bestFit="1" customWidth="1"/>
    <col min="257" max="257" width="7.625" bestFit="1" customWidth="1"/>
    <col min="258" max="258" width="10.375" bestFit="1" customWidth="1"/>
    <col min="259" max="259" width="8.25" bestFit="1" customWidth="1"/>
    <col min="260" max="260" width="6.75" bestFit="1" customWidth="1"/>
    <col min="261" max="261" width="7.25" bestFit="1" customWidth="1"/>
    <col min="262" max="262" width="7.625" bestFit="1" customWidth="1"/>
    <col min="263" max="263" width="10.375" bestFit="1" customWidth="1"/>
    <col min="264" max="264" width="8.25" bestFit="1" customWidth="1"/>
    <col min="265" max="265" width="5.875" bestFit="1" customWidth="1"/>
    <col min="266" max="266" width="7.25" bestFit="1" customWidth="1"/>
    <col min="267" max="267" width="7.625" bestFit="1" customWidth="1"/>
    <col min="268" max="268" width="10.375" bestFit="1" customWidth="1"/>
    <col min="269" max="269" width="8.25" bestFit="1" customWidth="1"/>
    <col min="270" max="270" width="6.875" bestFit="1" customWidth="1"/>
    <col min="271" max="271" width="7.25" bestFit="1" customWidth="1"/>
    <col min="272" max="272" width="7.625" bestFit="1" customWidth="1"/>
    <col min="273" max="273" width="10.375" bestFit="1" customWidth="1"/>
    <col min="274" max="274" width="8.25" bestFit="1" customWidth="1"/>
    <col min="275" max="275" width="6.875" bestFit="1" customWidth="1"/>
    <col min="276" max="276" width="7.25" bestFit="1" customWidth="1"/>
    <col min="277" max="277" width="7.625" bestFit="1" customWidth="1"/>
    <col min="278" max="278" width="10.375" bestFit="1" customWidth="1"/>
    <col min="279" max="279" width="8.25" bestFit="1" customWidth="1"/>
    <col min="280" max="280" width="6.875" bestFit="1" customWidth="1"/>
    <col min="281" max="281" width="7.25" bestFit="1" customWidth="1"/>
    <col min="282" max="282" width="7.625" bestFit="1" customWidth="1"/>
    <col min="283" max="283" width="10.375" bestFit="1" customWidth="1"/>
    <col min="284" max="284" width="8.25" bestFit="1" customWidth="1"/>
  </cols>
  <sheetData>
    <row r="1" spans="1:712" s="45" customFormat="1">
      <c r="A1" s="48">
        <v>45992</v>
      </c>
      <c r="B1" s="48">
        <v>45993</v>
      </c>
      <c r="C1" s="48">
        <v>45994</v>
      </c>
      <c r="D1" s="48">
        <v>45995</v>
      </c>
      <c r="E1" s="48">
        <v>45996</v>
      </c>
      <c r="F1" s="48">
        <v>45999</v>
      </c>
      <c r="G1" s="48">
        <v>46000</v>
      </c>
      <c r="H1" s="48">
        <v>46001</v>
      </c>
      <c r="I1" s="48">
        <v>46002</v>
      </c>
      <c r="J1" s="48">
        <v>46003</v>
      </c>
      <c r="K1" s="48">
        <v>46006</v>
      </c>
      <c r="L1" s="48">
        <v>46007</v>
      </c>
      <c r="M1" s="48">
        <v>46008</v>
      </c>
      <c r="N1" s="48">
        <v>46009</v>
      </c>
      <c r="O1" s="48">
        <v>46010</v>
      </c>
      <c r="P1" s="48">
        <v>46013</v>
      </c>
      <c r="Q1" s="48">
        <v>46014</v>
      </c>
      <c r="R1" s="48">
        <v>46015</v>
      </c>
      <c r="S1" s="48">
        <v>46016</v>
      </c>
      <c r="T1" s="48">
        <v>46017</v>
      </c>
      <c r="U1" s="48">
        <v>46020</v>
      </c>
      <c r="V1" s="48">
        <v>46021</v>
      </c>
      <c r="W1" s="48">
        <v>46022</v>
      </c>
      <c r="X1" s="44">
        <v>45658</v>
      </c>
      <c r="Y1" s="44">
        <v>45659</v>
      </c>
      <c r="Z1" s="44">
        <v>45662</v>
      </c>
      <c r="AA1" s="44">
        <v>45663</v>
      </c>
      <c r="AB1" s="44">
        <v>45664</v>
      </c>
      <c r="AC1" s="44">
        <v>45665</v>
      </c>
      <c r="AD1" s="44">
        <v>45666</v>
      </c>
      <c r="AE1" s="44">
        <v>45669</v>
      </c>
      <c r="AF1" s="44">
        <v>45670</v>
      </c>
      <c r="AG1" s="44">
        <v>45671</v>
      </c>
      <c r="AH1" s="44">
        <v>45672</v>
      </c>
      <c r="AI1" s="44">
        <v>45673</v>
      </c>
      <c r="AJ1" s="44">
        <v>45676</v>
      </c>
      <c r="AK1" s="44">
        <v>45677</v>
      </c>
      <c r="AL1" s="44">
        <v>45678</v>
      </c>
      <c r="AM1" s="44">
        <v>45679</v>
      </c>
      <c r="AN1" s="44">
        <v>45680</v>
      </c>
      <c r="AO1" s="44">
        <v>45683</v>
      </c>
      <c r="AP1" s="44">
        <v>45684</v>
      </c>
      <c r="AQ1" s="44">
        <v>45685</v>
      </c>
      <c r="AR1" s="44">
        <v>45686</v>
      </c>
      <c r="AS1" s="44">
        <v>45687</v>
      </c>
      <c r="AT1" s="44">
        <v>45690</v>
      </c>
      <c r="AU1" s="44">
        <v>45691</v>
      </c>
      <c r="AV1" s="44">
        <v>45692</v>
      </c>
      <c r="AW1" s="44">
        <v>45693</v>
      </c>
      <c r="AX1" s="44">
        <v>45694</v>
      </c>
      <c r="AY1" s="44">
        <v>45697</v>
      </c>
      <c r="AZ1" s="44">
        <v>45698</v>
      </c>
      <c r="BA1" s="44">
        <v>45699</v>
      </c>
      <c r="BB1" s="44">
        <v>45700</v>
      </c>
      <c r="BC1" s="44">
        <v>45701</v>
      </c>
      <c r="BD1" s="44">
        <v>45704</v>
      </c>
      <c r="BE1" s="44">
        <v>45705</v>
      </c>
      <c r="BF1" s="44">
        <v>45706</v>
      </c>
      <c r="BG1" s="44">
        <v>45707</v>
      </c>
      <c r="BH1" s="44">
        <v>45708</v>
      </c>
      <c r="BI1" s="44">
        <v>45711</v>
      </c>
      <c r="BJ1" s="44">
        <v>45712</v>
      </c>
      <c r="BK1" s="44">
        <v>45713</v>
      </c>
      <c r="BL1" s="44">
        <v>45714</v>
      </c>
      <c r="BM1" s="44">
        <v>45715</v>
      </c>
      <c r="BN1" s="44">
        <v>45718</v>
      </c>
      <c r="BO1" s="44">
        <v>45719</v>
      </c>
      <c r="BP1" s="44">
        <v>45720</v>
      </c>
      <c r="BQ1" s="44">
        <v>45721</v>
      </c>
      <c r="BR1" s="44">
        <v>45722</v>
      </c>
      <c r="BS1" s="44">
        <v>45725</v>
      </c>
      <c r="BT1" s="44">
        <v>45726</v>
      </c>
      <c r="BU1" s="44">
        <v>45727</v>
      </c>
      <c r="BV1" s="44">
        <v>45728</v>
      </c>
      <c r="BW1" s="44">
        <v>45729</v>
      </c>
      <c r="BX1" s="44">
        <v>45732</v>
      </c>
      <c r="BY1" s="44">
        <v>45733</v>
      </c>
      <c r="BZ1" s="44">
        <v>45734</v>
      </c>
      <c r="CA1" s="44">
        <v>45735</v>
      </c>
      <c r="CB1" s="44">
        <v>45736</v>
      </c>
      <c r="CC1" s="44">
        <v>45739</v>
      </c>
      <c r="CD1" s="44">
        <v>45740</v>
      </c>
      <c r="CE1" s="44">
        <v>45741</v>
      </c>
      <c r="CF1" s="44">
        <v>45742</v>
      </c>
      <c r="CG1" s="44">
        <v>45743</v>
      </c>
      <c r="CH1" s="44">
        <v>45746</v>
      </c>
      <c r="CI1" s="44">
        <v>45747</v>
      </c>
      <c r="CJ1" s="44">
        <v>45748</v>
      </c>
      <c r="CK1" s="44">
        <v>45749</v>
      </c>
      <c r="CL1" s="44">
        <v>45750</v>
      </c>
      <c r="CM1" s="44">
        <v>45753</v>
      </c>
      <c r="CN1" s="44">
        <v>45754</v>
      </c>
      <c r="CO1" s="44">
        <v>45755</v>
      </c>
      <c r="CP1" s="44">
        <v>45756</v>
      </c>
      <c r="CQ1" s="44">
        <v>45757</v>
      </c>
      <c r="CR1" s="44">
        <v>45760</v>
      </c>
      <c r="CS1" s="44">
        <v>45761</v>
      </c>
      <c r="CT1" s="44">
        <v>45762</v>
      </c>
      <c r="CU1" s="44">
        <v>45763</v>
      </c>
      <c r="CV1" s="44">
        <v>45764</v>
      </c>
      <c r="CW1" s="44">
        <v>45767</v>
      </c>
      <c r="CX1" s="44">
        <v>45768</v>
      </c>
      <c r="CY1" s="44">
        <v>45769</v>
      </c>
      <c r="CZ1" s="44">
        <v>45770</v>
      </c>
      <c r="DA1" s="44">
        <v>45771</v>
      </c>
      <c r="DB1" s="44">
        <v>45774</v>
      </c>
      <c r="DC1" s="44">
        <v>45775</v>
      </c>
      <c r="DD1" s="44">
        <v>45776</v>
      </c>
      <c r="DE1" s="44">
        <v>45777</v>
      </c>
      <c r="DF1" s="44">
        <v>45778</v>
      </c>
      <c r="DG1" s="44">
        <v>45781</v>
      </c>
      <c r="DH1" s="44">
        <v>45782</v>
      </c>
      <c r="DI1" s="44">
        <v>45783</v>
      </c>
      <c r="DJ1" s="44">
        <v>45784</v>
      </c>
      <c r="DK1" s="44">
        <v>45785</v>
      </c>
      <c r="DL1" s="44">
        <v>45788</v>
      </c>
      <c r="DM1" s="44">
        <v>45789</v>
      </c>
      <c r="DN1" s="44">
        <v>45790</v>
      </c>
      <c r="DO1" s="44">
        <v>45791</v>
      </c>
      <c r="DP1" s="44">
        <v>45792</v>
      </c>
      <c r="DQ1" s="44">
        <v>45795</v>
      </c>
      <c r="DR1" s="44">
        <v>45796</v>
      </c>
      <c r="DS1" s="44">
        <v>45797</v>
      </c>
      <c r="DT1" s="44">
        <v>45798</v>
      </c>
      <c r="DU1" s="44">
        <v>45799</v>
      </c>
      <c r="DV1" s="44">
        <v>45802</v>
      </c>
      <c r="DW1" s="44">
        <v>45803</v>
      </c>
      <c r="DX1" s="44">
        <v>45804</v>
      </c>
      <c r="DY1" s="44">
        <v>45805</v>
      </c>
      <c r="DZ1" s="44">
        <v>45806</v>
      </c>
      <c r="EA1" s="44">
        <v>45809</v>
      </c>
      <c r="EB1" s="44">
        <v>45810</v>
      </c>
      <c r="EC1" s="44">
        <v>45811</v>
      </c>
      <c r="ED1" s="44">
        <v>45812</v>
      </c>
      <c r="EE1" s="44">
        <v>45813</v>
      </c>
      <c r="EF1" s="44">
        <v>45816</v>
      </c>
      <c r="EG1" s="44">
        <v>45817</v>
      </c>
      <c r="EH1" s="44">
        <v>45818</v>
      </c>
      <c r="EI1" s="44">
        <v>45819</v>
      </c>
      <c r="EJ1" s="44">
        <v>45820</v>
      </c>
      <c r="EK1" s="44">
        <v>45823</v>
      </c>
      <c r="EL1" s="44">
        <v>45824</v>
      </c>
      <c r="EM1" s="44">
        <v>45825</v>
      </c>
      <c r="EN1" s="44">
        <v>45826</v>
      </c>
      <c r="EO1" s="44">
        <v>45827</v>
      </c>
      <c r="EP1" s="44">
        <v>45830</v>
      </c>
      <c r="EQ1" s="44">
        <v>45831</v>
      </c>
      <c r="ER1" s="44">
        <v>45832</v>
      </c>
      <c r="ES1" s="44">
        <v>45833</v>
      </c>
      <c r="ET1" s="44">
        <v>45834</v>
      </c>
      <c r="EU1" s="44">
        <v>45837</v>
      </c>
      <c r="EV1" s="44">
        <v>45838</v>
      </c>
      <c r="EW1" s="44">
        <v>45839</v>
      </c>
      <c r="EX1" s="44">
        <v>45840</v>
      </c>
      <c r="EY1" s="44">
        <v>45841</v>
      </c>
      <c r="EZ1" s="44">
        <v>45844</v>
      </c>
      <c r="FA1" s="44">
        <v>45845</v>
      </c>
      <c r="FB1" s="44">
        <v>45846</v>
      </c>
      <c r="FC1" s="44">
        <v>45847</v>
      </c>
      <c r="FD1" s="44">
        <v>45848</v>
      </c>
      <c r="FE1" s="44">
        <v>45851</v>
      </c>
      <c r="FF1" s="44">
        <v>45852</v>
      </c>
      <c r="FG1" s="44">
        <v>45853</v>
      </c>
      <c r="FH1" s="44">
        <v>45854</v>
      </c>
      <c r="FI1" s="44">
        <v>45855</v>
      </c>
      <c r="FJ1" s="44">
        <v>45858</v>
      </c>
      <c r="FK1" s="44">
        <v>45859</v>
      </c>
      <c r="FL1" s="44">
        <v>45860</v>
      </c>
      <c r="FM1" s="44">
        <v>45861</v>
      </c>
      <c r="FN1" s="44">
        <v>45862</v>
      </c>
      <c r="FO1" s="44">
        <v>45865</v>
      </c>
      <c r="FP1" s="44">
        <v>45866</v>
      </c>
      <c r="FQ1" s="44">
        <v>45867</v>
      </c>
      <c r="FR1" s="44">
        <v>45868</v>
      </c>
      <c r="FS1" s="44">
        <v>45869</v>
      </c>
      <c r="FT1" s="44">
        <v>45872</v>
      </c>
      <c r="FU1" s="44">
        <v>45873</v>
      </c>
      <c r="FV1" s="44">
        <v>45874</v>
      </c>
      <c r="FW1" s="44">
        <v>45875</v>
      </c>
      <c r="FX1" s="44">
        <v>45876</v>
      </c>
      <c r="FY1" s="44">
        <v>45879</v>
      </c>
      <c r="FZ1" s="44">
        <v>45880</v>
      </c>
      <c r="GA1" s="44">
        <v>45881</v>
      </c>
      <c r="GB1" s="44">
        <v>45882</v>
      </c>
      <c r="GC1" s="44">
        <v>45883</v>
      </c>
      <c r="GD1" s="44">
        <v>45886</v>
      </c>
      <c r="GE1" s="44">
        <v>45887</v>
      </c>
      <c r="GF1" s="44">
        <v>45888</v>
      </c>
      <c r="GG1" s="44">
        <v>45889</v>
      </c>
      <c r="GH1" s="44">
        <v>45890</v>
      </c>
      <c r="GI1" s="44">
        <v>45893</v>
      </c>
      <c r="GJ1" s="44">
        <v>45894</v>
      </c>
      <c r="GK1" s="44">
        <v>45895</v>
      </c>
      <c r="GL1" s="44">
        <v>45896</v>
      </c>
      <c r="GM1" s="44">
        <v>45897</v>
      </c>
      <c r="GN1" s="44">
        <v>45900</v>
      </c>
      <c r="GO1" s="44">
        <v>45901</v>
      </c>
      <c r="GP1" s="44">
        <v>45902</v>
      </c>
      <c r="GQ1" s="44">
        <v>45903</v>
      </c>
      <c r="GR1" s="44">
        <v>45904</v>
      </c>
      <c r="GS1" s="44">
        <v>45907</v>
      </c>
      <c r="GT1" s="44">
        <v>45908</v>
      </c>
      <c r="GU1" s="44">
        <v>45909</v>
      </c>
      <c r="GV1" s="44">
        <v>45910</v>
      </c>
      <c r="GW1" s="44">
        <v>45911</v>
      </c>
      <c r="GX1" s="44">
        <v>45914</v>
      </c>
      <c r="GY1" s="44">
        <v>45915</v>
      </c>
      <c r="GZ1" s="44">
        <v>45916</v>
      </c>
      <c r="HA1" s="44">
        <v>45917</v>
      </c>
      <c r="HB1" s="44">
        <v>45918</v>
      </c>
      <c r="HC1" s="44">
        <v>45921</v>
      </c>
      <c r="HD1" s="44">
        <v>45922</v>
      </c>
      <c r="HE1" s="44">
        <v>45923</v>
      </c>
      <c r="HF1" s="44">
        <v>45924</v>
      </c>
      <c r="HG1" s="44">
        <v>45925</v>
      </c>
      <c r="HH1" s="44">
        <v>45928</v>
      </c>
      <c r="HI1" s="44">
        <v>45929</v>
      </c>
      <c r="HJ1" s="44">
        <v>45930</v>
      </c>
      <c r="HK1" s="44">
        <v>45931</v>
      </c>
      <c r="HL1" s="44">
        <v>45932</v>
      </c>
      <c r="HM1" s="44">
        <v>45935</v>
      </c>
      <c r="HN1" s="44">
        <v>45936</v>
      </c>
      <c r="HO1" s="44">
        <v>45937</v>
      </c>
      <c r="HP1" s="44">
        <v>45938</v>
      </c>
      <c r="HQ1" s="44">
        <v>45939</v>
      </c>
      <c r="HR1" s="44">
        <v>45942</v>
      </c>
      <c r="HS1" s="44">
        <v>45943</v>
      </c>
      <c r="HT1" s="44">
        <v>45944</v>
      </c>
      <c r="HU1" s="44">
        <v>45945</v>
      </c>
      <c r="HV1" s="44">
        <v>45946</v>
      </c>
      <c r="HW1" s="44">
        <v>45949</v>
      </c>
      <c r="HX1" s="44">
        <v>45950</v>
      </c>
      <c r="HY1" s="44">
        <v>45951</v>
      </c>
      <c r="HZ1" s="44">
        <v>45952</v>
      </c>
      <c r="IA1" s="44">
        <v>45953</v>
      </c>
      <c r="IB1" s="44">
        <v>45956</v>
      </c>
      <c r="IC1" s="44">
        <v>45957</v>
      </c>
      <c r="ID1" s="44">
        <v>45958</v>
      </c>
      <c r="IE1" s="44">
        <v>45959</v>
      </c>
      <c r="IF1" s="44">
        <v>45960</v>
      </c>
      <c r="IG1" s="44">
        <v>45963</v>
      </c>
      <c r="IH1" s="44">
        <v>45964</v>
      </c>
      <c r="II1" s="44">
        <v>45965</v>
      </c>
      <c r="IJ1" s="44">
        <v>45966</v>
      </c>
      <c r="IK1" s="44">
        <v>45967</v>
      </c>
      <c r="IL1" s="44">
        <v>45970</v>
      </c>
      <c r="IM1" s="44">
        <v>45971</v>
      </c>
      <c r="IN1" s="44">
        <v>45972</v>
      </c>
      <c r="IO1" s="44">
        <v>45973</v>
      </c>
      <c r="IP1" s="44">
        <v>45974</v>
      </c>
      <c r="IQ1" s="44">
        <v>45977</v>
      </c>
      <c r="IR1" s="44">
        <v>45978</v>
      </c>
      <c r="IS1" s="44">
        <v>45979</v>
      </c>
      <c r="IT1" s="44">
        <v>45980</v>
      </c>
      <c r="IU1" s="44">
        <v>45981</v>
      </c>
      <c r="IV1" s="44">
        <v>45984</v>
      </c>
      <c r="IW1" s="44">
        <v>45985</v>
      </c>
      <c r="IX1" s="44">
        <v>45986</v>
      </c>
      <c r="IY1" s="44">
        <v>45987</v>
      </c>
      <c r="IZ1" s="44">
        <v>45988</v>
      </c>
      <c r="JA1" s="44">
        <v>45991</v>
      </c>
      <c r="JB1" s="44">
        <v>45992</v>
      </c>
      <c r="JC1" s="44">
        <v>45993</v>
      </c>
      <c r="JD1" s="44">
        <v>45994</v>
      </c>
      <c r="JE1" s="44">
        <v>45995</v>
      </c>
      <c r="JF1" s="44">
        <v>45998</v>
      </c>
      <c r="JG1" s="44">
        <v>45999</v>
      </c>
      <c r="JH1" s="44">
        <v>46000</v>
      </c>
      <c r="JI1" s="44">
        <v>46001</v>
      </c>
      <c r="JJ1" s="44">
        <v>46002</v>
      </c>
      <c r="JK1" s="44">
        <v>46005</v>
      </c>
      <c r="JL1" s="44">
        <v>46006</v>
      </c>
      <c r="JM1" s="44">
        <v>46007</v>
      </c>
      <c r="JN1" s="44">
        <v>46008</v>
      </c>
      <c r="JO1" s="44">
        <v>46009</v>
      </c>
      <c r="JP1" s="44">
        <v>46012</v>
      </c>
      <c r="JQ1" s="44">
        <v>46013</v>
      </c>
      <c r="JR1" s="44">
        <v>46014</v>
      </c>
      <c r="JS1" s="44">
        <v>46015</v>
      </c>
      <c r="JT1" s="44">
        <v>46016</v>
      </c>
      <c r="JU1" s="44">
        <v>46019</v>
      </c>
      <c r="JV1" s="44">
        <v>46020</v>
      </c>
      <c r="JW1" s="44">
        <v>46021</v>
      </c>
      <c r="JX1" s="44">
        <v>46022</v>
      </c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</row>
    <row r="2" spans="1:712" s="45" customFormat="1" ht="20.25">
      <c r="A2" s="49" t="s">
        <v>50</v>
      </c>
      <c r="B2" s="50" t="s">
        <v>51</v>
      </c>
      <c r="C2" s="50" t="s">
        <v>52</v>
      </c>
      <c r="D2" s="50" t="s">
        <v>53</v>
      </c>
      <c r="E2" s="50" t="s">
        <v>54</v>
      </c>
      <c r="F2" s="50" t="s">
        <v>50</v>
      </c>
      <c r="G2" s="50" t="s">
        <v>51</v>
      </c>
      <c r="H2" s="50" t="s">
        <v>52</v>
      </c>
      <c r="I2" s="50" t="s">
        <v>53</v>
      </c>
      <c r="J2" s="50" t="s">
        <v>54</v>
      </c>
      <c r="K2" s="50" t="s">
        <v>50</v>
      </c>
      <c r="L2" s="50" t="s">
        <v>51</v>
      </c>
      <c r="M2" s="50" t="s">
        <v>52</v>
      </c>
      <c r="N2" s="50" t="s">
        <v>53</v>
      </c>
      <c r="O2" s="50" t="s">
        <v>54</v>
      </c>
      <c r="P2" s="50" t="s">
        <v>50</v>
      </c>
      <c r="Q2" s="50" t="s">
        <v>51</v>
      </c>
      <c r="R2" s="50" t="s">
        <v>52</v>
      </c>
      <c r="S2" s="50" t="s">
        <v>53</v>
      </c>
      <c r="T2" s="50" t="s">
        <v>54</v>
      </c>
      <c r="U2" s="50" t="s">
        <v>50</v>
      </c>
      <c r="V2" s="50" t="s">
        <v>51</v>
      </c>
      <c r="W2" s="50" t="s">
        <v>52</v>
      </c>
      <c r="X2" s="46" t="s">
        <v>53</v>
      </c>
      <c r="Y2" s="46" t="s">
        <v>54</v>
      </c>
      <c r="Z2" s="46" t="s">
        <v>50</v>
      </c>
      <c r="AA2" s="46" t="s">
        <v>51</v>
      </c>
      <c r="AB2" s="46" t="s">
        <v>52</v>
      </c>
      <c r="AC2" s="46" t="s">
        <v>53</v>
      </c>
      <c r="AD2" s="46" t="s">
        <v>54</v>
      </c>
      <c r="AE2" s="46" t="s">
        <v>50</v>
      </c>
      <c r="AF2" s="46" t="s">
        <v>51</v>
      </c>
      <c r="AG2" s="46" t="s">
        <v>52</v>
      </c>
      <c r="AH2" s="46" t="s">
        <v>53</v>
      </c>
      <c r="AI2" s="46" t="s">
        <v>54</v>
      </c>
      <c r="AJ2" s="46" t="s">
        <v>50</v>
      </c>
      <c r="AK2" s="46" t="s">
        <v>51</v>
      </c>
      <c r="AL2" s="46" t="s">
        <v>52</v>
      </c>
      <c r="AM2" s="46" t="s">
        <v>53</v>
      </c>
      <c r="AN2" s="46" t="s">
        <v>54</v>
      </c>
      <c r="AO2" s="46" t="s">
        <v>50</v>
      </c>
      <c r="AP2" s="46" t="s">
        <v>51</v>
      </c>
      <c r="AQ2" s="46" t="s">
        <v>52</v>
      </c>
      <c r="AR2" s="46" t="s">
        <v>53</v>
      </c>
      <c r="AS2" s="46" t="s">
        <v>54</v>
      </c>
      <c r="AT2" s="46" t="s">
        <v>50</v>
      </c>
      <c r="AU2" s="46" t="s">
        <v>51</v>
      </c>
      <c r="AV2" s="46" t="s">
        <v>52</v>
      </c>
      <c r="AW2" s="46" t="s">
        <v>53</v>
      </c>
      <c r="AX2" s="46" t="s">
        <v>54</v>
      </c>
      <c r="AY2" s="46" t="s">
        <v>50</v>
      </c>
      <c r="AZ2" s="46" t="s">
        <v>51</v>
      </c>
      <c r="BA2" s="46" t="s">
        <v>52</v>
      </c>
      <c r="BB2" s="46" t="s">
        <v>53</v>
      </c>
      <c r="BC2" s="46" t="s">
        <v>54</v>
      </c>
      <c r="BD2" s="46" t="s">
        <v>50</v>
      </c>
      <c r="BE2" s="46" t="s">
        <v>51</v>
      </c>
      <c r="BF2" s="46" t="s">
        <v>52</v>
      </c>
      <c r="BG2" s="46" t="s">
        <v>53</v>
      </c>
      <c r="BH2" s="46" t="s">
        <v>54</v>
      </c>
      <c r="BI2" s="46" t="s">
        <v>50</v>
      </c>
      <c r="BJ2" s="46" t="s">
        <v>51</v>
      </c>
      <c r="BK2" s="46" t="s">
        <v>52</v>
      </c>
      <c r="BL2" s="46" t="s">
        <v>53</v>
      </c>
      <c r="BM2" s="46" t="s">
        <v>54</v>
      </c>
      <c r="BN2" s="46" t="s">
        <v>50</v>
      </c>
      <c r="BO2" s="46" t="s">
        <v>51</v>
      </c>
      <c r="BP2" s="46" t="s">
        <v>52</v>
      </c>
      <c r="BQ2" s="46" t="s">
        <v>53</v>
      </c>
      <c r="BR2" s="46" t="s">
        <v>54</v>
      </c>
      <c r="BS2" s="46" t="s">
        <v>50</v>
      </c>
      <c r="BT2" s="46" t="s">
        <v>51</v>
      </c>
      <c r="BU2" s="46" t="s">
        <v>52</v>
      </c>
      <c r="BV2" s="46" t="s">
        <v>53</v>
      </c>
      <c r="BW2" s="46" t="s">
        <v>54</v>
      </c>
      <c r="BX2" s="46" t="s">
        <v>50</v>
      </c>
      <c r="BY2" s="46" t="s">
        <v>51</v>
      </c>
      <c r="BZ2" s="46" t="s">
        <v>52</v>
      </c>
      <c r="CA2" s="46" t="s">
        <v>53</v>
      </c>
      <c r="CB2" s="46" t="s">
        <v>54</v>
      </c>
      <c r="CC2" s="46" t="s">
        <v>50</v>
      </c>
      <c r="CD2" s="46" t="s">
        <v>51</v>
      </c>
      <c r="CE2" s="46" t="s">
        <v>52</v>
      </c>
      <c r="CF2" s="46" t="s">
        <v>53</v>
      </c>
      <c r="CG2" s="46" t="s">
        <v>54</v>
      </c>
      <c r="CH2" s="46" t="s">
        <v>50</v>
      </c>
      <c r="CI2" s="46" t="s">
        <v>51</v>
      </c>
      <c r="CJ2" s="46" t="s">
        <v>52</v>
      </c>
      <c r="CK2" s="46" t="s">
        <v>53</v>
      </c>
      <c r="CL2" s="46" t="s">
        <v>54</v>
      </c>
      <c r="CM2" s="46" t="s">
        <v>50</v>
      </c>
      <c r="CN2" s="46" t="s">
        <v>51</v>
      </c>
      <c r="CO2" s="46" t="s">
        <v>52</v>
      </c>
      <c r="CP2" s="46" t="s">
        <v>53</v>
      </c>
      <c r="CQ2" s="46" t="s">
        <v>54</v>
      </c>
      <c r="CR2" s="46" t="s">
        <v>50</v>
      </c>
      <c r="CS2" s="46" t="s">
        <v>51</v>
      </c>
      <c r="CT2" s="46" t="s">
        <v>52</v>
      </c>
      <c r="CU2" s="46" t="s">
        <v>53</v>
      </c>
      <c r="CV2" s="46" t="s">
        <v>54</v>
      </c>
      <c r="CW2" s="46" t="s">
        <v>50</v>
      </c>
      <c r="CX2" s="46" t="s">
        <v>51</v>
      </c>
      <c r="CY2" s="46" t="s">
        <v>52</v>
      </c>
      <c r="CZ2" s="46" t="s">
        <v>53</v>
      </c>
      <c r="DA2" s="46" t="s">
        <v>54</v>
      </c>
      <c r="DB2" s="46" t="s">
        <v>50</v>
      </c>
      <c r="DC2" s="46" t="s">
        <v>51</v>
      </c>
      <c r="DD2" s="46" t="s">
        <v>52</v>
      </c>
      <c r="DE2" s="46" t="s">
        <v>53</v>
      </c>
      <c r="DF2" s="46" t="s">
        <v>54</v>
      </c>
      <c r="DG2" s="46" t="s">
        <v>50</v>
      </c>
      <c r="DH2" s="46" t="s">
        <v>51</v>
      </c>
      <c r="DI2" s="46" t="s">
        <v>52</v>
      </c>
      <c r="DJ2" s="46" t="s">
        <v>53</v>
      </c>
      <c r="DK2" s="46" t="s">
        <v>54</v>
      </c>
      <c r="DL2" s="46" t="s">
        <v>50</v>
      </c>
      <c r="DM2" s="46" t="s">
        <v>51</v>
      </c>
      <c r="DN2" s="46" t="s">
        <v>52</v>
      </c>
      <c r="DO2" s="46" t="s">
        <v>53</v>
      </c>
      <c r="DP2" s="46" t="s">
        <v>54</v>
      </c>
      <c r="DQ2" s="46" t="s">
        <v>50</v>
      </c>
      <c r="DR2" s="46" t="s">
        <v>51</v>
      </c>
      <c r="DS2" s="46" t="s">
        <v>52</v>
      </c>
      <c r="DT2" s="46" t="s">
        <v>53</v>
      </c>
      <c r="DU2" s="46" t="s">
        <v>54</v>
      </c>
      <c r="DV2" s="46" t="s">
        <v>50</v>
      </c>
      <c r="DW2" s="46" t="s">
        <v>51</v>
      </c>
      <c r="DX2" s="46" t="s">
        <v>52</v>
      </c>
      <c r="DY2" s="46" t="s">
        <v>53</v>
      </c>
      <c r="DZ2" s="46" t="s">
        <v>54</v>
      </c>
      <c r="EA2" s="46" t="s">
        <v>50</v>
      </c>
      <c r="EB2" s="46" t="s">
        <v>51</v>
      </c>
      <c r="EC2" s="46" t="s">
        <v>52</v>
      </c>
      <c r="ED2" s="46" t="s">
        <v>53</v>
      </c>
      <c r="EE2" s="46" t="s">
        <v>54</v>
      </c>
      <c r="EF2" s="46" t="s">
        <v>50</v>
      </c>
      <c r="EG2" s="46" t="s">
        <v>51</v>
      </c>
      <c r="EH2" s="46" t="s">
        <v>52</v>
      </c>
      <c r="EI2" s="46" t="s">
        <v>53</v>
      </c>
      <c r="EJ2" s="46" t="s">
        <v>54</v>
      </c>
      <c r="EK2" s="46" t="s">
        <v>50</v>
      </c>
      <c r="EL2" s="46" t="s">
        <v>51</v>
      </c>
      <c r="EM2" s="46" t="s">
        <v>52</v>
      </c>
      <c r="EN2" s="46" t="s">
        <v>53</v>
      </c>
      <c r="EO2" s="46" t="s">
        <v>54</v>
      </c>
      <c r="EP2" s="46" t="s">
        <v>50</v>
      </c>
      <c r="EQ2" s="46" t="s">
        <v>51</v>
      </c>
      <c r="ER2" s="46" t="s">
        <v>52</v>
      </c>
      <c r="ES2" s="46" t="s">
        <v>53</v>
      </c>
      <c r="ET2" s="46" t="s">
        <v>54</v>
      </c>
      <c r="EU2" s="46" t="s">
        <v>50</v>
      </c>
      <c r="EV2" s="46" t="s">
        <v>51</v>
      </c>
      <c r="EW2" s="46" t="s">
        <v>52</v>
      </c>
      <c r="EX2" s="46" t="s">
        <v>53</v>
      </c>
      <c r="EY2" s="46" t="s">
        <v>54</v>
      </c>
      <c r="EZ2" s="46" t="s">
        <v>50</v>
      </c>
      <c r="FA2" s="46" t="s">
        <v>51</v>
      </c>
      <c r="FB2" s="46" t="s">
        <v>52</v>
      </c>
      <c r="FC2" s="46" t="s">
        <v>53</v>
      </c>
      <c r="FD2" s="46" t="s">
        <v>54</v>
      </c>
      <c r="FE2" s="46" t="s">
        <v>50</v>
      </c>
      <c r="FF2" s="46" t="s">
        <v>51</v>
      </c>
      <c r="FG2" s="46" t="s">
        <v>52</v>
      </c>
      <c r="FH2" s="46" t="s">
        <v>53</v>
      </c>
      <c r="FI2" s="46" t="s">
        <v>54</v>
      </c>
      <c r="FJ2" s="46" t="s">
        <v>50</v>
      </c>
      <c r="FK2" s="46" t="s">
        <v>51</v>
      </c>
      <c r="FL2" s="46" t="s">
        <v>52</v>
      </c>
      <c r="FM2" s="46" t="s">
        <v>53</v>
      </c>
      <c r="FN2" s="46" t="s">
        <v>54</v>
      </c>
      <c r="FO2" s="46" t="s">
        <v>50</v>
      </c>
      <c r="FP2" s="46" t="s">
        <v>51</v>
      </c>
      <c r="FQ2" s="46" t="s">
        <v>52</v>
      </c>
      <c r="FR2" s="46" t="s">
        <v>53</v>
      </c>
      <c r="FS2" s="46" t="s">
        <v>54</v>
      </c>
      <c r="FT2" s="46" t="s">
        <v>50</v>
      </c>
      <c r="FU2" s="46" t="s">
        <v>51</v>
      </c>
      <c r="FV2" s="46" t="s">
        <v>52</v>
      </c>
      <c r="FW2" s="46" t="s">
        <v>53</v>
      </c>
      <c r="FX2" s="46" t="s">
        <v>54</v>
      </c>
      <c r="FY2" s="46" t="s">
        <v>50</v>
      </c>
      <c r="FZ2" s="46" t="s">
        <v>51</v>
      </c>
      <c r="GA2" s="46" t="s">
        <v>52</v>
      </c>
      <c r="GB2" s="46" t="s">
        <v>53</v>
      </c>
      <c r="GC2" s="46" t="s">
        <v>54</v>
      </c>
      <c r="GD2" s="46" t="s">
        <v>50</v>
      </c>
      <c r="GE2" s="46" t="s">
        <v>51</v>
      </c>
      <c r="GF2" s="46" t="s">
        <v>52</v>
      </c>
      <c r="GG2" s="46" t="s">
        <v>53</v>
      </c>
      <c r="GH2" s="46" t="s">
        <v>54</v>
      </c>
      <c r="GI2" s="46" t="s">
        <v>50</v>
      </c>
      <c r="GJ2" s="46" t="s">
        <v>51</v>
      </c>
      <c r="GK2" s="46" t="s">
        <v>52</v>
      </c>
      <c r="GL2" s="46" t="s">
        <v>53</v>
      </c>
      <c r="GM2" s="46" t="s">
        <v>54</v>
      </c>
      <c r="GN2" s="46" t="s">
        <v>50</v>
      </c>
      <c r="GO2" s="46" t="s">
        <v>51</v>
      </c>
      <c r="GP2" s="46" t="s">
        <v>52</v>
      </c>
      <c r="GQ2" s="46" t="s">
        <v>53</v>
      </c>
      <c r="GR2" s="46" t="s">
        <v>54</v>
      </c>
      <c r="GS2" s="46" t="s">
        <v>50</v>
      </c>
      <c r="GT2" s="46" t="s">
        <v>51</v>
      </c>
      <c r="GU2" s="46" t="s">
        <v>52</v>
      </c>
      <c r="GV2" s="46" t="s">
        <v>53</v>
      </c>
      <c r="GW2" s="46" t="s">
        <v>54</v>
      </c>
      <c r="GX2" s="46" t="s">
        <v>50</v>
      </c>
      <c r="GY2" s="46" t="s">
        <v>51</v>
      </c>
      <c r="GZ2" s="46" t="s">
        <v>52</v>
      </c>
      <c r="HA2" s="46" t="s">
        <v>53</v>
      </c>
      <c r="HB2" s="46" t="s">
        <v>54</v>
      </c>
      <c r="HC2" s="46" t="s">
        <v>50</v>
      </c>
      <c r="HD2" s="46" t="s">
        <v>51</v>
      </c>
      <c r="HE2" s="46" t="s">
        <v>52</v>
      </c>
      <c r="HF2" s="46" t="s">
        <v>53</v>
      </c>
      <c r="HG2" s="46" t="s">
        <v>54</v>
      </c>
      <c r="HH2" s="46" t="s">
        <v>50</v>
      </c>
      <c r="HI2" s="46" t="s">
        <v>51</v>
      </c>
      <c r="HJ2" s="46" t="s">
        <v>52</v>
      </c>
      <c r="HK2" s="46" t="s">
        <v>53</v>
      </c>
      <c r="HL2" s="46" t="s">
        <v>54</v>
      </c>
      <c r="HM2" s="46" t="s">
        <v>50</v>
      </c>
      <c r="HN2" s="46" t="s">
        <v>51</v>
      </c>
      <c r="HO2" s="46" t="s">
        <v>52</v>
      </c>
      <c r="HP2" s="46" t="s">
        <v>53</v>
      </c>
      <c r="HQ2" s="46" t="s">
        <v>54</v>
      </c>
      <c r="HR2" s="46" t="s">
        <v>50</v>
      </c>
      <c r="HS2" s="46" t="s">
        <v>51</v>
      </c>
      <c r="HT2" s="46" t="s">
        <v>52</v>
      </c>
      <c r="HU2" s="46" t="s">
        <v>53</v>
      </c>
      <c r="HV2" s="46" t="s">
        <v>54</v>
      </c>
      <c r="HW2" s="46" t="s">
        <v>50</v>
      </c>
      <c r="HX2" s="46" t="s">
        <v>51</v>
      </c>
      <c r="HY2" s="46" t="s">
        <v>52</v>
      </c>
      <c r="HZ2" s="46" t="s">
        <v>53</v>
      </c>
      <c r="IA2" s="46" t="s">
        <v>54</v>
      </c>
      <c r="IB2" s="46" t="s">
        <v>50</v>
      </c>
      <c r="IC2" s="46" t="s">
        <v>51</v>
      </c>
      <c r="ID2" s="46" t="s">
        <v>52</v>
      </c>
      <c r="IE2" s="46" t="s">
        <v>53</v>
      </c>
      <c r="IF2" s="46" t="s">
        <v>54</v>
      </c>
      <c r="IG2" s="46" t="s">
        <v>50</v>
      </c>
      <c r="IH2" s="46" t="s">
        <v>51</v>
      </c>
      <c r="II2" s="46" t="s">
        <v>52</v>
      </c>
      <c r="IJ2" s="46" t="s">
        <v>53</v>
      </c>
      <c r="IK2" s="46" t="s">
        <v>54</v>
      </c>
      <c r="IL2" s="46" t="s">
        <v>50</v>
      </c>
      <c r="IM2" s="46" t="s">
        <v>51</v>
      </c>
      <c r="IN2" s="46" t="s">
        <v>52</v>
      </c>
      <c r="IO2" s="46" t="s">
        <v>53</v>
      </c>
      <c r="IP2" s="46" t="s">
        <v>54</v>
      </c>
      <c r="IQ2" s="46" t="s">
        <v>50</v>
      </c>
      <c r="IR2" s="46" t="s">
        <v>51</v>
      </c>
      <c r="IS2" s="46" t="s">
        <v>52</v>
      </c>
      <c r="IT2" s="46" t="s">
        <v>53</v>
      </c>
      <c r="IU2" s="46" t="s">
        <v>54</v>
      </c>
      <c r="IV2" s="46" t="s">
        <v>50</v>
      </c>
      <c r="IW2" s="46" t="s">
        <v>51</v>
      </c>
      <c r="IX2" s="46" t="s">
        <v>52</v>
      </c>
      <c r="IY2" s="46" t="s">
        <v>53</v>
      </c>
      <c r="IZ2" s="46" t="s">
        <v>54</v>
      </c>
      <c r="JA2" s="46" t="s">
        <v>50</v>
      </c>
      <c r="JB2" s="46" t="s">
        <v>51</v>
      </c>
      <c r="JC2" s="46" t="s">
        <v>52</v>
      </c>
      <c r="JD2" s="46" t="s">
        <v>53</v>
      </c>
      <c r="JE2" s="46" t="s">
        <v>54</v>
      </c>
      <c r="JF2" s="46" t="s">
        <v>50</v>
      </c>
      <c r="JG2" s="46" t="s">
        <v>51</v>
      </c>
      <c r="JH2" s="46" t="s">
        <v>52</v>
      </c>
      <c r="JI2" s="46" t="s">
        <v>53</v>
      </c>
      <c r="JJ2" s="46" t="s">
        <v>54</v>
      </c>
      <c r="JK2" s="46" t="s">
        <v>50</v>
      </c>
      <c r="JL2" s="46" t="s">
        <v>51</v>
      </c>
      <c r="JM2" s="46" t="s">
        <v>52</v>
      </c>
      <c r="JN2" s="46" t="s">
        <v>53</v>
      </c>
      <c r="JO2" s="46" t="s">
        <v>54</v>
      </c>
      <c r="JP2" s="46" t="s">
        <v>50</v>
      </c>
      <c r="JQ2" s="46" t="s">
        <v>51</v>
      </c>
      <c r="JR2" s="46" t="s">
        <v>52</v>
      </c>
      <c r="JS2" s="46" t="s">
        <v>53</v>
      </c>
      <c r="JT2" s="46" t="s">
        <v>54</v>
      </c>
      <c r="JU2" s="46" t="s">
        <v>50</v>
      </c>
      <c r="JV2" s="46" t="s">
        <v>51</v>
      </c>
      <c r="JW2" s="46" t="s">
        <v>52</v>
      </c>
      <c r="JX2" s="46" t="s">
        <v>53</v>
      </c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</row>
    <row r="3" spans="1:712">
      <c r="X3" s="47" t="s">
        <v>41</v>
      </c>
      <c r="AO3" s="51" t="s">
        <v>787</v>
      </c>
      <c r="HL3" s="51" t="s">
        <v>787</v>
      </c>
      <c r="JT3" s="5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��
</file>

<file path=customXml/item3.xml><?xml version="1.0" encoding="utf-8"?>
<?mso-contentType ?>
<SharedContentType xmlns="Microsoft.SharePoint.Taxonomy.ContentTypeSync" SourceId="4b6b08d2-6182-4197-8221-8710a9404ced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7E27BFAA0DF409C448A55B8E51B23" ma:contentTypeVersion="14" ma:contentTypeDescription="Create a new document." ma:contentTypeScope="" ma:versionID="4fb8221ed9d3fe71837a9945ad2be487">
  <xsd:schema xmlns:xsd="http://www.w3.org/2001/XMLSchema" xmlns:xs="http://www.w3.org/2001/XMLSchema" xmlns:p="http://schemas.microsoft.com/office/2006/metadata/properties" xmlns:ns2="f085ca05-1a56-417b-bcef-25b3bd9988f8" xmlns:ns3="5f055a6e-9369-4cbd-9e9b-4df0f6a2e10a" xmlns:ns4="d96a29ef-1c2f-4a3c-be82-e6ce51e36634" targetNamespace="http://schemas.microsoft.com/office/2006/metadata/properties" ma:root="true" ma:fieldsID="3cd83afe83225d2887c8f8fd67d381a8" ns2:_="" ns3:_="" ns4:_="">
    <xsd:import namespace="f085ca05-1a56-417b-bcef-25b3bd9988f8"/>
    <xsd:import namespace="5f055a6e-9369-4cbd-9e9b-4df0f6a2e10a"/>
    <xsd:import namespace="d96a29ef-1c2f-4a3c-be82-e6ce51e36634"/>
    <xsd:element name="properties">
      <xsd:complexType>
        <xsd:sequence>
          <xsd:element name="documentManagement">
            <xsd:complexType>
              <xsd:all>
                <xsd:element ref="ns2:IncludeInSearch" minOccurs="0"/>
                <xsd:element ref="ns2:OraBlockAcces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_dlc_DocId" minOccurs="0"/>
                <xsd:element ref="ns4:_dlc_DocIdUrl" minOccurs="0"/>
                <xsd:element ref="ns4:_dlc_DocIdPersistId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5ca05-1a56-417b-bcef-25b3bd9988f8" elementFormDefault="qualified">
    <xsd:import namespace="http://schemas.microsoft.com/office/2006/documentManagement/types"/>
    <xsd:import namespace="http://schemas.microsoft.com/office/infopath/2007/PartnerControls"/>
    <xsd:element name="IncludeInSearch" ma:index="8" nillable="true" ma:displayName="IncludeInMyOracleSearch" ma:default="1" ma:internalName="IncludeInSearch" ma:readOnly="false">
      <xsd:simpleType>
        <xsd:restriction base="dms:Boolean"/>
      </xsd:simpleType>
    </xsd:element>
    <xsd:element name="OraBlockAccess" ma:index="9" nillable="true" ma:displayName="Block Access (ReadOnly)" ma:default="0" ma:description="Property to enable DLP blocking" ma:indexed="true" ma:internalName="OraBlockAccess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55a6e-9369-4cbd-9e9b-4df0f6a2e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6b08d2-6182-4197-8221-8710a9404c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a29ef-1c2f-4a3c-be82-e6ce51e36634" elementFormDefault="qualified">
    <xsd:import namespace="http://schemas.microsoft.com/office/2006/documentManagement/types"/>
    <xsd:import namespace="http://schemas.microsoft.com/office/infopath/2007/PartnerControls"/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4e7e5423-b09b-40e2-b108-c0b17a6998e4}" ma:internalName="TaxCatchAll" ma:showField="CatchAllData" ma:web="d96a29ef-1c2f-4a3c-be82-e6ce51e366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cludeInSearch xmlns="f085ca05-1a56-417b-bcef-25b3bd9988f8">true</IncludeInSearch>
    <_dlc_DocId xmlns="d96a29ef-1c2f-4a3c-be82-e6ce51e36634">OUSAASDL-2110844310-291</_dlc_DocId>
    <_dlc_DocIdUrl xmlns="d96a29ef-1c2f-4a3c-be82-e6ce51e36634">
      <Url>https://oracle.sharepoint.com/teams/OracleUniversitySaaSCloudDeliveryTeam/_layouts/15/DocIdRedir.aspx?ID=OUSAASDL-2110844310-291</Url>
      <Description>OUSAASDL-2110844310-291</Description>
    </_dlc_DocIdUrl>
    <OraBlockAccess xmlns="f085ca05-1a56-417b-bcef-25b3bd9988f8">false</OraBlockAccess>
    <TaxCatchAll xmlns="d96a29ef-1c2f-4a3c-be82-e6ce51e36634" xsi:nil="true"/>
    <lcf76f155ced4ddcb4097134ff3c332f xmlns="5f055a6e-9369-4cbd-9e9b-4df0f6a2e10a">
      <Terms xmlns="http://schemas.microsoft.com/office/infopath/2007/PartnerControls"/>
    </lcf76f155ced4ddcb4097134ff3c332f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DEB8F3-0536-42A1-A353-55DEEEF04C4D}"/>
</file>

<file path=customXml/itemProps2.xml><?xml version="1.0" encoding="utf-8"?>
<ds:datastoreItem xmlns:ds="http://schemas.openxmlformats.org/officeDocument/2006/customXml" ds:itemID="{19562AB9-79B7-42F6-88B3-076F77BDB3A4}"/>
</file>

<file path=customXml/itemProps3.xml><?xml version="1.0" encoding="utf-8"?>
<ds:datastoreItem xmlns:ds="http://schemas.openxmlformats.org/officeDocument/2006/customXml" ds:itemID="{01B5E755-00AF-4314-AA1A-A61578880CCB}"/>
</file>

<file path=customXml/itemProps4.xml><?xml version="1.0" encoding="utf-8"?>
<ds:datastoreItem xmlns:ds="http://schemas.openxmlformats.org/officeDocument/2006/customXml" ds:itemID="{E1787086-A023-4C13-ABBC-58C4CB87609E}"/>
</file>

<file path=customXml/itemProps5.xml><?xml version="1.0" encoding="utf-8"?>
<ds:datastoreItem xmlns:ds="http://schemas.openxmlformats.org/officeDocument/2006/customXml" ds:itemID="{622FC404-71E4-4209-BCD5-75E6020C1DF1}"/>
</file>

<file path=customXml/itemProps6.xml><?xml version="1.0" encoding="utf-8"?>
<ds:datastoreItem xmlns:ds="http://schemas.openxmlformats.org/officeDocument/2006/customXml" ds:itemID="{4C1D360E-44E7-47BC-9AEA-CFCAD96E6F1B}"/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Sujatha Kalahasthi Raju</dc:creator>
  <cp:keywords/>
  <dc:description/>
  <cp:lastModifiedBy/>
  <cp:revision/>
  <dcterms:created xsi:type="dcterms:W3CDTF">2025-07-03T04:03:34Z</dcterms:created>
  <dcterms:modified xsi:type="dcterms:W3CDTF">2026-10-14T03:47:33Z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2025-07-03T04:04:18Z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49556feb-2e33-4807-b39a-f0799671a7cc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50, 3, 0, 1</vt:lpwstr>
  </property>
  <property fmtid="{D5CDD505-2E9C-101B-9397-08002B2CF9AE}" pid="10" name="ContentTypeId">
    <vt:lpwstr>0x0101003017E27BFAA0DF409C448A55B8E51B23</vt:lpwstr>
  </property>
  <property fmtid="{D5CDD505-2E9C-101B-9397-08002B2CF9AE}" pid="11" name="Order">
    <vt:r8>1603800</vt:r8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activity">
    <vt:lpwstr>{"FileActivityType":"9","FileActivityTimeStamp":"2026-01-28T19:20:24.353Z","FileActivityUsersOnPage":[{"DisplayName":"Ruchika Bhatnagar","Id":"ruchika.bhatnagar@oracle.com"},{"DisplayName":"Kirthika Chidambaram","Id":"kirthika.chidambaram@oracle.com"}],"FileActivityNavigationId":null}</vt:lpwstr>
  </property>
  <property fmtid="{D5CDD505-2E9C-101B-9397-08002B2CF9AE}" pid="16" name="TriggerFlowInfo">
    <vt:lpwstr/>
  </property>
  <property fmtid="{D5CDD505-2E9C-101B-9397-08002B2CF9AE}" pid="17" name="_dlc_DocIdItemGuid">
    <vt:lpwstr>790b2c12-8b89-4aa1-b86b-75049cd27579</vt:lpwstr>
  </property>
  <property fmtid="{D5CDD505-2E9C-101B-9397-08002B2CF9AE}" pid="18" name="MediaServiceImageTags">
    <vt:lpwstr/>
  </property>
</Properties>
</file>