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D:\26B Sprint\"/>
    </mc:Choice>
  </mc:AlternateContent>
  <xr:revisionPtr revIDLastSave="0" documentId="8_{8895C8B4-D8DE-460D-ACA4-9A6C2539EE7B}" xr6:coauthVersionLast="47" xr6:coauthVersionMax="47" xr10:uidLastSave="{00000000-0000-0000-0000-000000000000}"/>
  <bookViews>
    <workbookView xWindow="-110" yWindow="-110" windowWidth="19420" windowHeight="11500" xr2:uid="{A2D5EDCE-09CB-FA41-A592-E9AB1D60DC9A}"/>
  </bookViews>
  <sheets>
    <sheet name="HCM" sheetId="15" r:id="rId1"/>
    <sheet name="ERP" sheetId="19" r:id="rId2"/>
    <sheet name="SCM" sheetId="18" r:id="rId3"/>
    <sheet name="CX" sheetId="20" r:id="rId4"/>
    <sheet name="EPM" sheetId="25" r:id="rId5"/>
    <sheet name="Portfolio Analysis Tracking" sheetId="28" r:id="rId6"/>
    <sheet name="CDL Comparison Config" sheetId="26" r:id="rId7"/>
    <sheet name="Comparison_Data" sheetId="27" r:id="rId8"/>
  </sheets>
  <definedNames>
    <definedName name="_xlnm._FilterDatabase" localSheetId="1" hidden="1">ERP!$A$2:$A$23</definedName>
    <definedName name="_xlnm._FilterDatabase" localSheetId="0" hidden="1">HCM!$A$2:$A$28</definedName>
    <definedName name="_xlnm._FilterDatabase" localSheetId="2" hidden="1">SCM!$A$2:$A$28</definedName>
    <definedName name="_xlnm._FilterDatabase" localSheetId="5" hidden="1">'Portfolio Analysis Tracking'!$B$3:$F$24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5" l="1"/>
  <c r="C1" i="20"/>
  <c r="C1" i="19"/>
  <c r="C1" i="18"/>
  <c r="C1" i="15"/>
  <c r="C2" i="25" l="1"/>
  <c r="D1" i="25"/>
  <c r="C2" i="20"/>
  <c r="D1" i="20"/>
  <c r="C2" i="19"/>
  <c r="D1" i="19"/>
  <c r="C2" i="18"/>
  <c r="D1" i="18"/>
  <c r="D1" i="15"/>
  <c r="C2" i="15"/>
  <c r="D2" i="25" l="1"/>
  <c r="E1" i="25"/>
  <c r="D2" i="20"/>
  <c r="E1" i="20"/>
  <c r="D2" i="19"/>
  <c r="E1" i="19"/>
  <c r="D2" i="18"/>
  <c r="E1" i="18"/>
  <c r="E1" i="15"/>
  <c r="D2" i="15"/>
  <c r="E2" i="25" l="1"/>
  <c r="F1" i="25"/>
  <c r="E2" i="20"/>
  <c r="F1" i="20"/>
  <c r="E2" i="19"/>
  <c r="F1" i="19"/>
  <c r="E2" i="18"/>
  <c r="F1" i="18"/>
  <c r="F1" i="15"/>
  <c r="E2" i="15"/>
  <c r="F2" i="25" l="1"/>
  <c r="G1" i="25"/>
  <c r="F2" i="20"/>
  <c r="G1" i="20"/>
  <c r="F2" i="19"/>
  <c r="G1" i="19"/>
  <c r="F2" i="18"/>
  <c r="G1" i="18"/>
  <c r="G1" i="15"/>
  <c r="F2" i="15"/>
  <c r="G2" i="25" l="1"/>
  <c r="H1" i="25"/>
  <c r="G2" i="20"/>
  <c r="H1" i="20"/>
  <c r="G2" i="19"/>
  <c r="H1" i="19"/>
  <c r="G2" i="18"/>
  <c r="H1" i="18"/>
  <c r="G2" i="15"/>
  <c r="H1" i="15"/>
  <c r="H2" i="25" l="1"/>
  <c r="I1" i="25"/>
  <c r="H2" i="20"/>
  <c r="I1" i="20"/>
  <c r="H2" i="19"/>
  <c r="I1" i="19"/>
  <c r="H2" i="18"/>
  <c r="I1" i="18"/>
  <c r="H2" i="15"/>
  <c r="I1" i="15"/>
  <c r="I2" i="25" l="1"/>
  <c r="J1" i="25"/>
  <c r="I2" i="20"/>
  <c r="J1" i="20"/>
  <c r="I2" i="19"/>
  <c r="J1" i="19"/>
  <c r="I2" i="18"/>
  <c r="J1" i="18"/>
  <c r="I2" i="15"/>
  <c r="J1" i="15"/>
  <c r="J2" i="25" l="1"/>
  <c r="K1" i="25"/>
  <c r="J2" i="20"/>
  <c r="K1" i="20"/>
  <c r="J2" i="19"/>
  <c r="K1" i="19"/>
  <c r="J2" i="18"/>
  <c r="K1" i="18"/>
  <c r="J2" i="15"/>
  <c r="K1" i="15"/>
  <c r="K2" i="25" l="1"/>
  <c r="L1" i="25"/>
  <c r="K2" i="20"/>
  <c r="L1" i="20"/>
  <c r="K2" i="19"/>
  <c r="L1" i="19"/>
  <c r="K2" i="18"/>
  <c r="L1" i="18"/>
  <c r="K2" i="15"/>
  <c r="L1" i="15"/>
  <c r="L2" i="25" l="1"/>
  <c r="M1" i="25"/>
  <c r="L2" i="20"/>
  <c r="M1" i="20"/>
  <c r="L2" i="19"/>
  <c r="M1" i="19"/>
  <c r="L2" i="18"/>
  <c r="M1" i="18"/>
  <c r="L2" i="15"/>
  <c r="M1" i="15"/>
  <c r="M2" i="25" l="1"/>
  <c r="N1" i="25"/>
  <c r="N2" i="25" s="1"/>
  <c r="M2" i="20"/>
  <c r="N1" i="20"/>
  <c r="N2" i="20" s="1"/>
  <c r="M2" i="19"/>
  <c r="N1" i="19"/>
  <c r="N2" i="19" s="1"/>
  <c r="M2" i="18"/>
  <c r="N1" i="18"/>
  <c r="N2" i="18" s="1"/>
  <c r="M2" i="15"/>
  <c r="N1" i="15"/>
  <c r="N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Pranay Kawalkar</author>
  </authors>
  <commentList>
    <comment ref="I3" authorId="0" shapeId="0" xr:uid="{93E7785A-019D-408C-8945-1B3E59C19179}">
      <text>
        <r>
          <rPr>
            <sz val="12"/>
            <color theme="1"/>
            <rFont val="Aptos Narrow"/>
            <family val="2"/>
            <scheme val="minor"/>
          </rPr>
          <t>Need some gap to have production services done on PPTs.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Pranay Kawalkar</author>
  </authors>
  <commentList>
    <comment ref="D27" authorId="0" shapeId="0" xr:uid="{F7CEAC39-742B-4DC8-91CE-F1E4FE9C76A0}">
      <text>
        <r>
          <rPr>
            <sz val="12"/>
            <color theme="1"/>
            <rFont val="Aptos Narrow"/>
            <family val="2"/>
            <scheme val="minor"/>
          </rPr>
          <t>Issue faced. Unable to create content.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Pranay Kawalkar</author>
  </authors>
  <commentList>
    <comment ref="B4" authorId="0" shapeId="0" xr:uid="{D23EB726-9D10-4BD7-BBD0-7DE88C359560}">
      <text>
        <r>
          <rPr>
            <sz val="12"/>
            <color theme="1"/>
            <rFont val="Aptos Narrow"/>
            <family val="2"/>
            <scheme val="minor"/>
          </rPr>
          <t>1 completed. 1 has SR, awaiting resolution. Added to the AI-Agent tracking list by OUPM.</t>
        </r>
      </text>
    </comment>
    <comment ref="E4" authorId="0" shapeId="0" xr:uid="{145796A3-D246-4CC2-BD1E-AC6FA0FE5AF0}">
      <text>
        <r>
          <rPr>
            <sz val="12"/>
            <color theme="1"/>
            <rFont val="Aptos Narrow"/>
            <family val="2"/>
            <scheme val="minor"/>
          </rPr>
          <t>2/7 done. 5 still pending.</t>
        </r>
      </text>
    </comment>
    <comment ref="D12" authorId="0" shapeId="0" xr:uid="{870574F6-F439-43B7-BDCF-702E8A3F4ED2}">
      <text>
        <r>
          <rPr>
            <sz val="12"/>
            <color theme="1"/>
            <rFont val="Aptos Narrow"/>
            <family val="2"/>
            <scheme val="minor"/>
          </rPr>
          <t xml:space="preserve">CDL requested more time. Timeline yet to be confirmed to OUPM as on 27-Jul.
</t>
        </r>
      </text>
    </comment>
    <comment ref="E14" authorId="0" shapeId="0" xr:uid="{12133620-C900-4C08-A05F-CF600A623D40}">
      <text>
        <r>
          <rPr>
            <sz val="12"/>
            <color theme="1"/>
            <rFont val="Aptos Narrow"/>
            <family val="2"/>
            <scheme val="minor"/>
          </rPr>
          <t>3/34 complete.</t>
        </r>
      </text>
    </comment>
    <comment ref="E20" authorId="0" shapeId="0" xr:uid="{D4FE4E06-B631-4356-B781-53C9564FEEF5}">
      <text>
        <r>
          <rPr>
            <sz val="12"/>
            <color theme="1"/>
            <rFont val="Aptos Narrow"/>
            <family val="2"/>
            <scheme val="minor"/>
          </rPr>
          <t>18/35 completed.</t>
        </r>
      </text>
    </comment>
    <comment ref="B25" authorId="0" shapeId="0" xr:uid="{5505BF8B-F209-4CCB-8FF0-BC8B9D76AB83}">
      <text>
        <r>
          <rPr>
            <sz val="12"/>
            <color theme="1"/>
            <rFont val="Aptos Narrow"/>
            <family val="2"/>
            <scheme val="minor"/>
          </rPr>
          <t>4 complete. 1 remaining.</t>
        </r>
      </text>
    </comment>
    <comment ref="E25" authorId="0" shapeId="0" xr:uid="{E6330F18-C8B2-49CF-8D23-D2296C375BDE}">
      <text>
        <r>
          <rPr>
            <sz val="12"/>
            <color theme="1"/>
            <rFont val="Aptos Narrow"/>
            <family val="2"/>
            <scheme val="minor"/>
          </rPr>
          <t>9/31 complete</t>
        </r>
      </text>
    </comment>
  </commentList>
</comments>
</file>

<file path=xl/sharedStrings.xml><?xml version="1.0" encoding="utf-8"?>
<sst xmlns="http://schemas.openxmlformats.org/spreadsheetml/2006/main" count="1049" uniqueCount="260">
  <si>
    <t> </t>
  </si>
  <si>
    <t>CDL</t>
  </si>
  <si>
    <t>Jess</t>
  </si>
  <si>
    <t>KPMG AI Agent Cert Prep Training Delivery Onsite</t>
  </si>
  <si>
    <t>26C NF</t>
  </si>
  <si>
    <r>
      <rPr>
        <strike/>
        <sz val="9"/>
        <color rgb="FF000000"/>
        <rFont val="Aptos Light"/>
      </rPr>
      <t xml:space="preserve">26C NF
</t>
    </r>
    <r>
      <rPr>
        <sz val="9"/>
        <color rgb="FF000000"/>
        <rFont val="Aptos Light"/>
      </rPr>
      <t>AIAS AG Test (4 days)</t>
    </r>
  </si>
  <si>
    <t>Travel:  Austin Partner Event:  AI Agent Studio</t>
  </si>
  <si>
    <r>
      <rPr>
        <strike/>
        <sz val="9"/>
        <color rgb="FF000000"/>
        <rFont val="Aptos Light"/>
      </rPr>
      <t xml:space="preserve">26C NF
</t>
    </r>
    <r>
      <rPr>
        <sz val="9"/>
        <color rgb="FF000000"/>
        <rFont val="Aptos Light"/>
      </rPr>
      <t>Design Doc: AIAS 26C</t>
    </r>
  </si>
  <si>
    <t>Content Dev:  AIAS 26C</t>
  </si>
  <si>
    <t>Record:  AIAS 26C</t>
  </si>
  <si>
    <t>Holiday US</t>
  </si>
  <si>
    <t>Record: Fast Formula</t>
  </si>
  <si>
    <t>Inperson:  Austin Partner Event:  AI Agent Studio</t>
  </si>
  <si>
    <t>Partner Session Prep</t>
  </si>
  <si>
    <t>Live Session Prep Day</t>
  </si>
  <si>
    <r>
      <rPr>
        <sz val="9"/>
        <color rgb="FF000000"/>
        <rFont val="Aptos Light"/>
      </rPr>
      <t xml:space="preserve">26C NF
</t>
    </r>
    <r>
      <rPr>
        <strike/>
        <sz val="9"/>
        <color rgb="FF000000"/>
        <rFont val="Aptos Light"/>
      </rPr>
      <t>AIAS Partner Training VT</t>
    </r>
  </si>
  <si>
    <t>Live Session: Inside the AI Agent Studio</t>
  </si>
  <si>
    <t>HOLD eOPN Partner Event (Ruchika POC)</t>
  </si>
  <si>
    <t>26D BOM Update</t>
  </si>
  <si>
    <r>
      <rPr>
        <strike/>
        <sz val="9"/>
        <color rgb="FF0D0D0D"/>
        <rFont val="Aptos Light"/>
      </rPr>
      <t xml:space="preserve">26C NF
</t>
    </r>
    <r>
      <rPr>
        <sz val="9"/>
        <color rgb="FF0D0D0D"/>
        <rFont val="Aptos Light"/>
      </rPr>
      <t>AIAS AG Test (4 days)</t>
    </r>
  </si>
  <si>
    <r>
      <rPr>
        <strike/>
        <sz val="9"/>
        <color rgb="FF000000"/>
        <rFont val="Aptos Light"/>
      </rPr>
      <t xml:space="preserve">AIAS Partner Training VT
</t>
    </r>
    <r>
      <rPr>
        <sz val="9"/>
        <color rgb="FF000000"/>
        <rFont val="Aptos Light"/>
      </rPr>
      <t>26C NF</t>
    </r>
  </si>
  <si>
    <r>
      <rPr>
        <strike/>
        <sz val="9"/>
        <color rgb="FF0D0D0D"/>
        <rFont val="Aptos Light"/>
      </rPr>
      <t xml:space="preserve">Navigator July Release </t>
    </r>
    <r>
      <rPr>
        <sz val="9"/>
        <color rgb="FF0D0D0D"/>
        <rFont val="Aptos Light"/>
      </rPr>
      <t>OOO</t>
    </r>
  </si>
  <si>
    <t>Design Doc: AIAS 26C</t>
  </si>
  <si>
    <t>Nigel</t>
  </si>
  <si>
    <t>Portfolio Review Meeting Prep</t>
  </si>
  <si>
    <t>Navigator July Release</t>
  </si>
  <si>
    <t>Design Doc:  Oracle Fusion Cloud HCM: Succession Management and Talent Review</t>
  </si>
  <si>
    <t>OOO</t>
  </si>
  <si>
    <t>Develop:  Oracle Fusion Cloud HCM: Succession Management and Talent Review</t>
  </si>
  <si>
    <t>Record:  Oracle Fusion Cloud HCM: Succession Management and Talent Review</t>
  </si>
  <si>
    <t>Holiday UK</t>
  </si>
  <si>
    <t>Content Dev:  Oracle Fusion Cloud HCM: Career Development</t>
  </si>
  <si>
    <t>Record:  Oracle Fusion Cloud HCM: Career Development</t>
  </si>
  <si>
    <t>AM: 26C NF
PM: eOPN Partner Event (Ruchika POC) Elevate your OTBI and BIP Reporting</t>
  </si>
  <si>
    <t>Record:  Oracle Fusion Cloud HCM: Configure Goal and Performance Management (+AI)</t>
  </si>
  <si>
    <t>26C NF  (45 NF identified for development)
Portfolio Review Meeting</t>
  </si>
  <si>
    <t>Design Doc:  Oracle Fusion Cloud HCM: Career Development</t>
  </si>
  <si>
    <t>Sarah</t>
  </si>
  <si>
    <t>26C NF (35 features; 3 features per day; 12 days)_x000D_
_x000D_
CLS Live 1hr Prep:  Interview Scheduling in Recruiting</t>
  </si>
  <si>
    <t>Content Dev:  Recruiting Booster Course</t>
  </si>
  <si>
    <t>Record:  Recruiting Booster Course</t>
  </si>
  <si>
    <t>Develop: Opportunity Marketplace Agentic App 26C</t>
  </si>
  <si>
    <t>Record: Opportunity Marketplace Agentic App 26C</t>
  </si>
  <si>
    <t>26C NF (35 features; 3 features per day; 12 days)_x000D_
_x000D_
CLS Live 1 hr Delivery:  Interview Scheduling in Recruiting</t>
  </si>
  <si>
    <t>Record: Applied Learning Fusion Recruting Implementation Project 26C</t>
  </si>
  <si>
    <t>Design Doc:  Recruting Imp 26C</t>
  </si>
  <si>
    <t>Record:  Recruiting Imp 26C</t>
  </si>
  <si>
    <t>Design Doc:  Recruiting Booster Course</t>
  </si>
  <si>
    <t>Design Doc: Opportunity Marketplace Agentic App 26C</t>
  </si>
  <si>
    <t>Kurt</t>
  </si>
  <si>
    <t>Deb</t>
  </si>
  <si>
    <t>Jury Duty</t>
  </si>
  <si>
    <t>Develop:  Benefits Imp 26C</t>
  </si>
  <si>
    <t>Develop:  Journeys Imp 26C</t>
  </si>
  <si>
    <t>Record:  Benefits Imp 26C</t>
  </si>
  <si>
    <t>August Live Session</t>
  </si>
  <si>
    <t>Susan</t>
  </si>
  <si>
    <t>Rohit</t>
  </si>
  <si>
    <r>
      <rPr>
        <strike/>
        <sz val="9"/>
        <color rgb="FF000000"/>
        <rFont val="Aptos Light"/>
      </rPr>
      <t xml:space="preserve">26C NF
</t>
    </r>
    <r>
      <rPr>
        <sz val="9"/>
        <color rgb="FF000000"/>
        <rFont val="Aptos Light"/>
      </rPr>
      <t>VT- Testing Agent Studio Labs (26C)</t>
    </r>
  </si>
  <si>
    <t>AI Agent Studio What's new video recording</t>
  </si>
  <si>
    <t xml:space="preserve">Re-do AI Agents/Studio in Using GHR_x000D_
_x000D_
</t>
  </si>
  <si>
    <t>Retrofit: AI Agents/Studio in Using GHR: Record</t>
  </si>
  <si>
    <t>Oracle Fusion Cloud HCM: Workflows and Approvals: DD</t>
  </si>
  <si>
    <t>Oracle Fusion Cloud HCM: Workflows and Approvals: Content Dev</t>
  </si>
  <si>
    <t>Oracle Fusion Cloud HCM: Workflows and Approvals: Recording</t>
  </si>
  <si>
    <t>Holiday BLR</t>
  </si>
  <si>
    <t>Oracle Fusion Cloud HCM Configure Enterprise and Workforce Structures: Content Dev</t>
  </si>
  <si>
    <r>
      <rPr>
        <strike/>
        <sz val="9"/>
        <color rgb="FF000000"/>
        <rFont val="Aptos Light"/>
      </rPr>
      <t xml:space="preserve">26C NF
</t>
    </r>
    <r>
      <rPr>
        <sz val="9"/>
        <color rgb="FF000000"/>
        <rFont val="Aptos Light"/>
      </rPr>
      <t>AI Agent Studio What's new video recording</t>
    </r>
  </si>
  <si>
    <r>
      <rPr>
        <strike/>
        <sz val="9"/>
        <color rgb="FF000000"/>
        <rFont val="Aptos Light"/>
      </rPr>
      <t xml:space="preserve">HOLD eOPN Partner Event (Ruchika POC)
</t>
    </r>
    <r>
      <rPr>
        <sz val="9"/>
        <color rgb="FF000000"/>
        <rFont val="Aptos Light"/>
      </rPr>
      <t>26C NF</t>
    </r>
  </si>
  <si>
    <t>Oracle Fusion Cloud HCM: Workflows and Approvals: DD Fixes</t>
  </si>
  <si>
    <t>Oracle Fusion Cloud HCM: Workflows and Approvals: Content Dev Fixes</t>
  </si>
  <si>
    <t>Oracle Fusion Cloud HCM Configure Enterprise and Workforce Structures: DD</t>
  </si>
  <si>
    <t>Portfolio Review Prep</t>
  </si>
  <si>
    <r>
      <rPr>
        <strike/>
        <sz val="9"/>
        <color rgb="FF000000"/>
        <rFont val="Aptos Light"/>
      </rPr>
      <t xml:space="preserve">Navigator July Release
</t>
    </r>
    <r>
      <rPr>
        <sz val="9"/>
        <color rgb="FF000000"/>
        <rFont val="Aptos Light"/>
      </rPr>
      <t>26C NF</t>
    </r>
  </si>
  <si>
    <t>OPN Partner Session: Designing and Managing Workforce and Enterprise Structures in Global Human Resources</t>
  </si>
  <si>
    <t>Oracle Fusion Cloud HCM Configure Enterprise and Workforce Structures: DD Fixes</t>
  </si>
  <si>
    <r>
      <rPr>
        <sz val="9"/>
        <color rgb="FF0D0D0D"/>
        <rFont val="Aptos Light"/>
      </rPr>
      <t xml:space="preserve">26C NF
</t>
    </r>
    <r>
      <rPr>
        <i/>
        <sz val="9"/>
        <color rgb="FF0D0D0D"/>
        <rFont val="Aptos Light"/>
      </rPr>
      <t>Live Session</t>
    </r>
  </si>
  <si>
    <t>VT- Testing Agent Studio Labs (26C)_x000D_
_x000D_
AI Agent Studio What's new video recording</t>
  </si>
  <si>
    <t>OPN Partner Session Prep</t>
  </si>
  <si>
    <t>VT- Testing Agent Studio Labs (26C)</t>
  </si>
  <si>
    <t>Pankaj</t>
  </si>
  <si>
    <t>Agentic Apps Partner Training - Testing of Hand on Labs (COE Work) + 
26C NFs Unboxing Recording</t>
  </si>
  <si>
    <t>ERP Process Essentials Gap Analysis</t>
  </si>
  <si>
    <t>ERP Process Essentials Uplift</t>
  </si>
  <si>
    <t>Advanced Tax Implementation: DD</t>
  </si>
  <si>
    <t>Advanced Tax Implementation: Content Dev</t>
  </si>
  <si>
    <t>LIVE SESSION PREP</t>
  </si>
  <si>
    <t>AI Agent Studio - Agentic Apps Virtual Workship July 28-30</t>
  </si>
  <si>
    <t>26C NFs (AI Agents)</t>
  </si>
  <si>
    <t>Live Session</t>
  </si>
  <si>
    <t>Agentic Apps Partner Training - Testing of Hand on Labs (COE Work)</t>
  </si>
  <si>
    <t>Deepak</t>
  </si>
  <si>
    <t>26B Accounting Hub Event Model Major Change - Content Creation</t>
  </si>
  <si>
    <r>
      <t xml:space="preserve">26B Accounting Hub Event Model Major Change - Recording
</t>
    </r>
    <r>
      <rPr>
        <sz val="9"/>
        <color theme="5" tint="-0.249977111117893"/>
        <rFont val="Aptos Light"/>
      </rPr>
      <t>OOO</t>
    </r>
  </si>
  <si>
    <t>26B Accounting Hub Event Model Major Change - Recording</t>
  </si>
  <si>
    <t>Partner Session Delivery</t>
  </si>
  <si>
    <t>Live Session - Aug 19</t>
  </si>
  <si>
    <r>
      <t xml:space="preserve">Navigator July Release
</t>
    </r>
    <r>
      <rPr>
        <sz val="9"/>
        <color theme="5" tint="-0.249977111117893"/>
        <rFont val="Aptos Light"/>
      </rPr>
      <t>OOO</t>
    </r>
  </si>
  <si>
    <t>Holiday DEL</t>
  </si>
  <si>
    <t xml:space="preserve">
Marcelina</t>
  </si>
  <si>
    <t>Compliance Training_x000D_
_x000D_
Portfolio Review for Timelines</t>
  </si>
  <si>
    <t>26C Payables Implementation - create DD, finalize scope, demo feasibility and environment dependencies</t>
  </si>
  <si>
    <t>26C Payables Implementation -content development (PPT+AG+T2S Script)</t>
  </si>
  <si>
    <t>Compliance Training
26C NF</t>
  </si>
  <si>
    <t>Live Session - Aug 4</t>
  </si>
  <si>
    <r>
      <rPr>
        <strike/>
        <sz val="9"/>
        <color rgb="FF000000"/>
        <rFont val="Aptos Light"/>
      </rPr>
      <t xml:space="preserve">ERP Process Essentials Uplift
</t>
    </r>
    <r>
      <rPr>
        <sz val="9"/>
        <color rgb="FF000000"/>
        <rFont val="Aptos Light"/>
      </rPr>
      <t>Financials Overview VT Testing</t>
    </r>
  </si>
  <si>
    <t>Live Session Prep</t>
  </si>
  <si>
    <t>Chris</t>
  </si>
  <si>
    <t>Common Features Course Recording</t>
  </si>
  <si>
    <t>2 NF on D02 Pod Dependency</t>
  </si>
  <si>
    <t>Curriculum Audit FY27 Redo</t>
  </si>
  <si>
    <t>Live Session - July 9</t>
  </si>
  <si>
    <t>Richard</t>
  </si>
  <si>
    <t>Testing the Labs for AI Agent Studio 26C Workshop</t>
  </si>
  <si>
    <t>Financial Reporting Content Recording</t>
  </si>
  <si>
    <t>JVM AG Content Update/Record</t>
  </si>
  <si>
    <r>
      <rPr>
        <sz val="9"/>
        <color rgb="FF0D0D0D"/>
        <rFont val="Aptos Light"/>
      </rPr>
      <t xml:space="preserve">26C NFs 
</t>
    </r>
    <r>
      <rPr>
        <i/>
        <sz val="9"/>
        <color rgb="FF0D0D0D"/>
        <rFont val="Aptos Light"/>
      </rPr>
      <t>JVM Feature dependent on PM data seeding</t>
    </r>
  </si>
  <si>
    <t>Barney</t>
  </si>
  <si>
    <t>26B Applied Learning Accounting Hub Major Uplift Çontent Creation</t>
  </si>
  <si>
    <t>David</t>
  </si>
  <si>
    <t>Two AI Agents from D2 Pod</t>
  </si>
  <si>
    <t xml:space="preserve">Nav additional time and extra days </t>
  </si>
  <si>
    <t>Live Session - Jul 8</t>
  </si>
  <si>
    <t>Curriculum Audit Report/Changes</t>
  </si>
  <si>
    <t>Manufacturing Foundation Course Uplift with 26B NFs &amp; AI - Design Doc</t>
  </si>
  <si>
    <t>Manufacturing Foundation Course Uplift with 26B NFs &amp; AI - Content Creation</t>
  </si>
  <si>
    <t>Nick</t>
  </si>
  <si>
    <t>SCM Masterclass - Coverage of Additional Topics</t>
  </si>
  <si>
    <t>Partner Session Prep
Testing Agent Studio OU Course Labs</t>
  </si>
  <si>
    <t>AI Agent Studio - Agentic Apps Virtual Workship July 28-30 Travel</t>
  </si>
  <si>
    <t>OPN Partner Session Delivery</t>
  </si>
  <si>
    <t>Grab Taxi Customer Specific Live Session - Aug 11</t>
  </si>
  <si>
    <t>Master cert exam dry run- AI Agents Developer Course</t>
  </si>
  <si>
    <t>Live Session - Aug 20</t>
  </si>
  <si>
    <t>26C NF / Curriculum Audit Report/Changes</t>
  </si>
  <si>
    <t>Partner Session Prep_x000D_
_x000D_
Testing Agent Studio OU Course Labs</t>
  </si>
  <si>
    <t>Farrell</t>
  </si>
  <si>
    <t>Order Mgmt Course Uplift 25D-26B, Agents, Backlog Mgmt - Content Creation</t>
  </si>
  <si>
    <t>Live Session - Jul 14</t>
  </si>
  <si>
    <t>CTO VT Changes</t>
  </si>
  <si>
    <t>Adv Supply Chain VT Changes</t>
  </si>
  <si>
    <t xml:space="preserve">
Kirthika</t>
  </si>
  <si>
    <t>Holiday CHE</t>
  </si>
  <si>
    <r>
      <rPr>
        <strike/>
        <sz val="9"/>
        <color rgb="FF000000"/>
        <rFont val="Aptos Light"/>
      </rPr>
      <t xml:space="preserve">26C NF
</t>
    </r>
    <r>
      <rPr>
        <sz val="9"/>
        <color rgb="FF000000"/>
        <rFont val="Aptos Light"/>
      </rPr>
      <t>VT – Oracle SCM Cloud Demand Planning Implementation</t>
    </r>
  </si>
  <si>
    <r>
      <rPr>
        <strike/>
        <sz val="9"/>
        <color rgb="FF0D0D0D"/>
        <rFont val="Aptos Light"/>
      </rPr>
      <t xml:space="preserve">26C NF
</t>
    </r>
    <r>
      <rPr>
        <sz val="9"/>
        <color rgb="FF0D0D0D"/>
        <rFont val="Aptos Light"/>
      </rPr>
      <t>VT- Testing Agent Studio Labs (26C)</t>
    </r>
  </si>
  <si>
    <r>
      <rPr>
        <strike/>
        <sz val="9"/>
        <color rgb="FF0D0D0D"/>
        <rFont val="Aptos Light"/>
      </rPr>
      <t xml:space="preserve">26C NF
</t>
    </r>
    <r>
      <rPr>
        <sz val="9"/>
        <color rgb="FF0D0D0D"/>
        <rFont val="Aptos Light"/>
      </rPr>
      <t>OOO</t>
    </r>
  </si>
  <si>
    <t>Ashik</t>
  </si>
  <si>
    <r>
      <rPr>
        <strike/>
        <sz val="9"/>
        <color rgb="FF000000"/>
        <rFont val="Aptos Light"/>
      </rPr>
      <t xml:space="preserve">26C NF
</t>
    </r>
    <r>
      <rPr>
        <sz val="9"/>
        <color rgb="FF000000"/>
        <rFont val="Aptos Light"/>
      </rPr>
      <t>Partner Session Prep</t>
    </r>
  </si>
  <si>
    <t>Navigator July Release
1Z0-1065-26: Procurement HPE Question Review (Half Day)</t>
  </si>
  <si>
    <t>Content Dev: PRC: 25B - 26B +AI: DD</t>
  </si>
  <si>
    <t>Content Dev: PRC: 25B - 26B +AI</t>
  </si>
  <si>
    <t>26C NF
Live Session Prep (Half Day)</t>
  </si>
  <si>
    <t>26B 5 AI Agents from D2 Pod</t>
  </si>
  <si>
    <t>Live Session - Jul 29
26C NF</t>
  </si>
  <si>
    <t>Partner Session: AI Agentic App: Sourcing Command Center</t>
  </si>
  <si>
    <t>Master cert exam dry run- AI Agents Developer Course (Half Day)
26C NFs</t>
  </si>
  <si>
    <t>Deloitte Partner session for Agentic Apps- Prep</t>
  </si>
  <si>
    <t>Deloitte Partner session for Agentic Apps- Prep+Session- APAC</t>
  </si>
  <si>
    <t>Live Session - Aug 27</t>
  </si>
  <si>
    <r>
      <rPr>
        <strike/>
        <sz val="9"/>
        <color rgb="FF0D0D0D"/>
        <rFont val="Aptos Light"/>
      </rPr>
      <t xml:space="preserve">Partner Session Prep
</t>
    </r>
    <r>
      <rPr>
        <sz val="9"/>
        <color rgb="FF0D0D0D"/>
        <rFont val="Aptos Light"/>
      </rPr>
      <t>VT- Testing Agent Studio Labs (26C)</t>
    </r>
  </si>
  <si>
    <t>Deloitte Partner session for Agentic Apps- Prep+Session- NAMER</t>
  </si>
  <si>
    <t>Omkar</t>
  </si>
  <si>
    <t>Content Dev: Cost Management Implementation (24D to 26B, AI)</t>
  </si>
  <si>
    <t>Content Dev/Recording 26C NFs (Half Day)
VT- Testing Agent Studio Labs (26C) (Half Day)</t>
  </si>
  <si>
    <t>Content Dev FIXES: Cost Management Implementation (24D to 26B, AI)</t>
  </si>
  <si>
    <t>Recording: Cost Management Implementation (24D to 26B, AI) (Including Retrofitting 26B AI Agents Demo to 26C</t>
  </si>
  <si>
    <t>Oracle Warehouse Management System Cloud Deep Dive: DD</t>
  </si>
  <si>
    <t>Oracle Warehouse Management System Cloud Deep Dive: Content Dev</t>
  </si>
  <si>
    <t>26C NF / WMS VT (Half Day)</t>
  </si>
  <si>
    <t>Content Dev/Recording 26C NFs- Unboxing (Half Day)_x000D_
_x000D_
WMS VT (Half Day)</t>
  </si>
  <si>
    <t>Recording: Cost Management Implementation (24D to 26B, AI)</t>
  </si>
  <si>
    <t>26C NF AI Agents - 3 Agents</t>
  </si>
  <si>
    <t>Deloitte Partner session for Agentic Apps- Prep (Half Day)
Content Dev FIXES: Cost Management Implementation (24D to 26B, AI) (Half Day)</t>
  </si>
  <si>
    <t>Live Session - Aug 26</t>
  </si>
  <si>
    <t xml:space="preserve">Master cert exam dry run- AI Agents Developer Course (Half Day)_x000D_
_x000D_
Deloitte Partner session for Agentic Apps- Prep (Half Day)_x000D_
</t>
  </si>
  <si>
    <t>Content Dev/Recording 26C NFs (Half Day)_x000D_
_x000D_
VT- Testing Agent Studio Labs (26C) (Half Day)</t>
  </si>
  <si>
    <t>Phil</t>
  </si>
  <si>
    <t>AG Dev: Fusion Service Impl (Content Dev)</t>
  </si>
  <si>
    <t>AG Dev: Fusion Service Impl</t>
  </si>
  <si>
    <t>Skills Check Dev:  Fusion Service Impl</t>
  </si>
  <si>
    <t>Cert Question Updates: 2-3 questions for Fusion Impl Pro</t>
  </si>
  <si>
    <t>Portfolio Meeting Prep Day</t>
  </si>
  <si>
    <t>Flexible Hours</t>
  </si>
  <si>
    <t>Shivam</t>
  </si>
  <si>
    <t>Content Dev: Oracle CPQ Cloud : Site Administration</t>
  </si>
  <si>
    <t>Oracle CPQ Cloud : Configuration: Content Dev</t>
  </si>
  <si>
    <t>Oracle CPQ Cloud : Site Administration: Recording</t>
  </si>
  <si>
    <t>Oracle CPQ Cloud : Pricing: Content Dev</t>
  </si>
  <si>
    <t>Oracle CPQ Cloud : Commerce: Content Dev</t>
  </si>
  <si>
    <t>Oracle CPQ Cloud : Configuration: Recording</t>
  </si>
  <si>
    <t>Akash</t>
  </si>
  <si>
    <t>Admin Planning Modules
AG Content Dev</t>
  </si>
  <si>
    <t>Admin Planning Modules_x000D_
_x000D_
_x000D_
AG Content DEV + PPT Fixes + Recording Ag2 for Demo</t>
  </si>
  <si>
    <t>Admin Planning Modules_x000D_
_x000D_
Recording</t>
  </si>
  <si>
    <t>AI Agents in EPM</t>
  </si>
  <si>
    <t>Admin Planning Modules
AG Content DEV + PPT Fixes + Recording Ag2 for Demo</t>
  </si>
  <si>
    <t xml:space="preserve">_x000D_
_x000D_
Predictive Cash Forecasting </t>
  </si>
  <si>
    <t>EPM Portfolio Review Meeting Prep</t>
  </si>
  <si>
    <r>
      <rPr>
        <sz val="9"/>
        <color rgb="FF000000"/>
        <rFont val="Aptos Light"/>
      </rPr>
      <t xml:space="preserve">Admin Planning Modules
Recording (Half Day)
</t>
    </r>
    <r>
      <rPr>
        <b/>
        <sz val="9"/>
        <color rgb="FF000000"/>
        <rFont val="Aptos Light"/>
      </rPr>
      <t>**Customer Query - 260725-000083 (Half Day)???</t>
    </r>
  </si>
  <si>
    <t>EPCM</t>
  </si>
  <si>
    <r>
      <rPr>
        <strike/>
        <sz val="9"/>
        <color rgb="FFFF0000"/>
        <rFont val="Aptos Light"/>
      </rPr>
      <t xml:space="preserve">Admin Planning Modules
AG Content Dev 
</t>
    </r>
    <r>
      <rPr>
        <sz val="9"/>
        <color rgb="FFFF0000"/>
        <rFont val="Aptos Light"/>
      </rPr>
      <t>OOO (Sick Leave)</t>
    </r>
  </si>
  <si>
    <t>Live Session - EPM - Jul 23</t>
  </si>
  <si>
    <t>Admin Planning Modules_x000D_
_x000D_
Case Study</t>
  </si>
  <si>
    <r>
      <rPr>
        <strike/>
        <sz val="9"/>
        <color rgb="FFFF0000"/>
        <rFont val="Aptos Light"/>
      </rPr>
      <t xml:space="preserve">Admin Planning Modules
Case Study
</t>
    </r>
    <r>
      <rPr>
        <sz val="9"/>
        <color rgb="FFFF0000"/>
        <rFont val="Aptos Light"/>
      </rPr>
      <t>OOO (Sick Leave)</t>
    </r>
  </si>
  <si>
    <t>Portfolio Activity</t>
  </si>
  <si>
    <t>Pillar</t>
  </si>
  <si>
    <t>Portfolio Mtg Date / Status</t>
  </si>
  <si>
    <t>OUPM : Disptach</t>
  </si>
  <si>
    <t>Schedule from DM</t>
  </si>
  <si>
    <t>CX</t>
  </si>
  <si>
    <t>EPM</t>
  </si>
  <si>
    <t>ERP</t>
  </si>
  <si>
    <t>Complete</t>
  </si>
  <si>
    <t>Received</t>
  </si>
  <si>
    <t>Marcelina</t>
  </si>
  <si>
    <t>To Be Received</t>
  </si>
  <si>
    <t>HCM</t>
  </si>
  <si>
    <t>SCM</t>
  </si>
  <si>
    <t>Kirthika</t>
  </si>
  <si>
    <t>Activity aliases</t>
  </si>
  <si>
    <t>Comparison settings</t>
  </si>
  <si>
    <t>Standard activity</t>
  </si>
  <si>
    <t>Accepted variation</t>
  </si>
  <si>
    <t>Setting</t>
  </si>
  <si>
    <t>Suggested value</t>
  </si>
  <si>
    <t>New Feature</t>
  </si>
  <si>
    <t>NF</t>
  </si>
  <si>
    <t>Comparison period</t>
  </si>
  <si>
    <t>Current sprint + next 2 sprints</t>
  </si>
  <si>
    <t>New Features</t>
  </si>
  <si>
    <t>Person matching</t>
  </si>
  <si>
    <t>Exact, ignoring capitalization/spaces</t>
  </si>
  <si>
    <t>Content Development</t>
  </si>
  <si>
    <t>Content Dev</t>
  </si>
  <si>
    <t>Date matching</t>
  </si>
  <si>
    <t>Same sprint/week</t>
  </si>
  <si>
    <t>Content Creation</t>
  </si>
  <si>
    <t>Activity matching</t>
  </si>
  <si>
    <t>Alias + keyword-based</t>
  </si>
  <si>
    <t>Design Document</t>
  </si>
  <si>
    <t>Design Doc</t>
  </si>
  <si>
    <t>Auto-update workbook</t>
  </si>
  <si>
    <t>No</t>
  </si>
  <si>
    <t>Recording</t>
  </si>
  <si>
    <t>Course Recording</t>
  </si>
  <si>
    <t>Notify about additions</t>
  </si>
  <si>
    <t>Yes</t>
  </si>
  <si>
    <t>Notify about removals</t>
  </si>
  <si>
    <t>Notify about rewording only</t>
  </si>
  <si>
    <t>Review</t>
  </si>
  <si>
    <t>Output location</t>
  </si>
  <si>
    <t>Proposed Changes sheet</t>
  </si>
  <si>
    <t>Source</t>
  </si>
  <si>
    <t>CDL_Name</t>
  </si>
  <si>
    <t>Week_Start</t>
  </si>
  <si>
    <t>Original_Activity</t>
  </si>
  <si>
    <t>Standard_Activity</t>
  </si>
  <si>
    <t>Mapping_Status</t>
  </si>
  <si>
    <t>Match_Key</t>
  </si>
  <si>
    <t>Comparison_Result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</si>
</sst>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Light"/>
      <family val="2"/>
    </font>
    <font>
      <b/>
      <sz val="11"/>
      <color theme="0"/>
      <name val="Aptos Light"/>
      <family val="2"/>
    </font>
    <font>
      <b/>
      <sz val="11"/>
      <color theme="1"/>
      <name val="Aptos Light"/>
      <family val="2"/>
    </font>
    <font>
      <sz val="11"/>
      <color theme="1"/>
      <name val="Aptos Light"/>
      <family val="2"/>
    </font>
    <font>
      <sz val="9"/>
      <color rgb="FF000000"/>
      <name val="Aptos Light"/>
      <family val="2"/>
    </font>
    <font>
      <b/>
      <sz val="9"/>
      <color rgb="FF000000"/>
      <name val="Aptos Light"/>
      <family val="2"/>
    </font>
    <font>
      <sz val="9"/>
      <color theme="1"/>
      <name val="Aptos Light"/>
      <family val="2"/>
    </font>
    <font>
      <sz val="9"/>
      <color rgb="FF0D0D0D"/>
      <name val="Aptos Light"/>
      <family val="2"/>
    </font>
    <font>
      <sz val="9"/>
      <color theme="1"/>
      <name val="Aptos Narrow"/>
      <family val="2"/>
      <scheme val="minor"/>
    </font>
    <font>
      <sz val="9"/>
      <color theme="5" tint="-0.249977111117893"/>
      <name val="Aptos Light"/>
      <family val="2"/>
    </font>
    <font>
      <sz val="9"/>
      <color rgb="FFFF0000"/>
      <name val="Aptos Light"/>
      <family val="2"/>
    </font>
    <font>
      <sz val="9"/>
      <color rgb="FF000000"/>
      <name val="Aptos Light"/>
    </font>
    <font>
      <sz val="11"/>
      <color rgb="FFFF0000"/>
      <name val="Aptos Light"/>
      <family val="2"/>
    </font>
    <font>
      <sz val="9"/>
      <color rgb="FF0D0D0D"/>
      <name val="Aptos Light"/>
    </font>
    <font>
      <b/>
      <sz val="11"/>
      <color rgb="FFFF0000"/>
      <name val="Aptos Light"/>
      <family val="2"/>
    </font>
    <font>
      <sz val="9"/>
      <color rgb="FFFF0000"/>
      <name val="Aptos Light"/>
    </font>
    <font>
      <b/>
      <sz val="9"/>
      <color rgb="FFFF0000"/>
      <name val="Aptos Light"/>
    </font>
    <font>
      <i/>
      <sz val="9"/>
      <color rgb="FF000000"/>
      <name val="Aptos Light"/>
      <family val="2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9"/>
      <color rgb="FF0D0D0D"/>
      <name val="Aptos Light"/>
    </font>
    <font>
      <strike/>
      <sz val="9"/>
      <color rgb="FF000000"/>
      <name val="Aptos Light"/>
    </font>
    <font>
      <i/>
      <sz val="9"/>
      <color rgb="FF0D0D0D"/>
      <name val="Aptos Light"/>
    </font>
    <font>
      <b/>
      <sz val="12"/>
      <color rgb="FFFFFFFF"/>
      <name val="Aptos Narrow"/>
    </font>
    <font>
      <b/>
      <sz val="12"/>
      <color rgb="FF074F69"/>
      <name val="Aptos Narrow"/>
    </font>
    <font>
      <sz val="12"/>
      <color rgb="FF1F2937"/>
      <name val="Aptos Narrow"/>
    </font>
    <font>
      <sz val="11"/>
      <color rgb="FF000000"/>
      <name val="Calibri"/>
    </font>
    <font>
      <sz val="9"/>
      <color theme="5" tint="-0.249977111117893"/>
      <name val="Aptos Light"/>
    </font>
    <font>
      <sz val="9"/>
      <color theme="3"/>
      <name val="Aptos Light"/>
      <family val="2"/>
    </font>
    <font>
      <strike/>
      <sz val="9"/>
      <color rgb="FFFF0000"/>
      <name val="Aptos Light"/>
    </font>
    <font>
      <strike/>
      <sz val="9"/>
      <color theme="5" tint="-0.249977111117893"/>
      <name val="Aptos Light"/>
    </font>
    <font>
      <sz val="9"/>
      <color theme="1"/>
      <name val="Aptos Light"/>
    </font>
    <font>
      <b/>
      <sz val="9"/>
      <color rgb="FF000000"/>
      <name val="Aptos Light"/>
    </font>
  </fonts>
  <fills count="1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74F69"/>
        <bgColor rgb="FF000000"/>
      </patternFill>
    </fill>
    <fill>
      <patternFill patternType="solid">
        <fgColor rgb="FFF8FBFF"/>
        <bgColor rgb="FF000000"/>
      </patternFill>
    </fill>
    <fill>
      <patternFill patternType="solid">
        <fgColor rgb="FFEAF4E2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2" tint="-9.9978637043366805E-2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2" tint="-9.9978637043366805E-2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2" tint="-9.9978637043366805E-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1"/>
      </left>
      <right/>
      <top style="medium">
        <color rgb="FF000000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rgb="FF000000"/>
      </right>
      <top style="medium">
        <color rgb="FF000000"/>
      </top>
      <bottom style="thin">
        <color theme="2" tint="-9.9978637043366805E-2"/>
      </bottom>
      <diagonal/>
    </border>
    <border>
      <left style="thin">
        <color theme="1"/>
      </left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2" tint="-9.9978637043366805E-2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/>
      <diagonal/>
    </border>
    <border>
      <left style="medium">
        <color rgb="FF000000"/>
      </left>
      <right style="thin">
        <color theme="1"/>
      </right>
      <top/>
      <bottom/>
      <diagonal/>
    </border>
    <border>
      <left style="medium">
        <color rgb="FF000000"/>
      </left>
      <right style="thin">
        <color theme="1"/>
      </right>
      <top/>
      <bottom style="medium">
        <color rgb="FF000000"/>
      </bottom>
      <diagonal/>
    </border>
    <border>
      <left/>
      <right style="thin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theme="1"/>
      </right>
      <top style="medium">
        <color rgb="FF000000"/>
      </top>
      <bottom style="thin">
        <color theme="2" tint="-9.9978637043366805E-2"/>
      </bottom>
      <diagonal/>
    </border>
    <border>
      <left/>
      <right style="thin">
        <color theme="1"/>
      </right>
      <top style="thin">
        <color theme="2" tint="-9.9978637043366805E-2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49">
    <xf numFmtId="0" fontId="0" fillId="0" borderId="0" xfId="0"/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4" fillId="4" borderId="2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vertical="top" wrapText="1"/>
    </xf>
    <xf numFmtId="0" fontId="8" fillId="3" borderId="6" xfId="0" applyFont="1" applyFill="1" applyBorder="1" applyAlignment="1">
      <alignment vertical="top" wrapText="1"/>
    </xf>
    <xf numFmtId="0" fontId="10" fillId="3" borderId="0" xfId="0" applyFont="1" applyFill="1" applyAlignment="1">
      <alignment vertical="top"/>
    </xf>
    <xf numFmtId="0" fontId="11" fillId="3" borderId="6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left" vertical="top"/>
    </xf>
    <xf numFmtId="0" fontId="9" fillId="4" borderId="5" xfId="0" applyFont="1" applyFill="1" applyBorder="1" applyAlignment="1">
      <alignment vertical="top" wrapText="1"/>
    </xf>
    <xf numFmtId="0" fontId="12" fillId="0" borderId="0" xfId="0" applyFont="1"/>
    <xf numFmtId="0" fontId="8" fillId="3" borderId="14" xfId="0" applyFont="1" applyFill="1" applyBorder="1" applyAlignment="1">
      <alignment vertical="top" wrapText="1"/>
    </xf>
    <xf numFmtId="0" fontId="11" fillId="3" borderId="16" xfId="0" applyFont="1" applyFill="1" applyBorder="1" applyAlignment="1">
      <alignment vertical="top" wrapText="1"/>
    </xf>
    <xf numFmtId="0" fontId="8" fillId="3" borderId="22" xfId="0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top" wrapText="1"/>
    </xf>
    <xf numFmtId="0" fontId="4" fillId="4" borderId="27" xfId="0" applyFont="1" applyFill="1" applyBorder="1" applyAlignment="1">
      <alignment vertical="top" wrapText="1"/>
    </xf>
    <xf numFmtId="16" fontId="5" fillId="2" borderId="28" xfId="0" applyNumberFormat="1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/>
    </xf>
    <xf numFmtId="16" fontId="5" fillId="2" borderId="29" xfId="0" applyNumberFormat="1" applyFont="1" applyFill="1" applyBorder="1" applyAlignment="1">
      <alignment horizontal="left" vertical="top" wrapText="1"/>
    </xf>
    <xf numFmtId="0" fontId="13" fillId="3" borderId="6" xfId="0" applyFont="1" applyFill="1" applyBorder="1" applyAlignment="1">
      <alignment vertical="top" wrapText="1"/>
    </xf>
    <xf numFmtId="0" fontId="13" fillId="3" borderId="16" xfId="0" applyFont="1" applyFill="1" applyBorder="1" applyAlignment="1">
      <alignment vertical="top" wrapText="1"/>
    </xf>
    <xf numFmtId="0" fontId="14" fillId="3" borderId="14" xfId="0" applyFont="1" applyFill="1" applyBorder="1" applyAlignment="1">
      <alignment vertical="top" wrapText="1"/>
    </xf>
    <xf numFmtId="0" fontId="14" fillId="3" borderId="16" xfId="0" applyFont="1" applyFill="1" applyBorder="1" applyAlignment="1">
      <alignment vertical="top" wrapText="1"/>
    </xf>
    <xf numFmtId="0" fontId="15" fillId="3" borderId="6" xfId="0" applyFont="1" applyFill="1" applyBorder="1" applyAlignment="1">
      <alignment vertical="top" wrapText="1"/>
    </xf>
    <xf numFmtId="0" fontId="11" fillId="3" borderId="31" xfId="0" applyFont="1" applyFill="1" applyBorder="1" applyAlignment="1">
      <alignment vertical="top" wrapText="1"/>
    </xf>
    <xf numFmtId="0" fontId="16" fillId="3" borderId="0" xfId="0" applyFont="1" applyFill="1" applyAlignment="1">
      <alignment vertical="top"/>
    </xf>
    <xf numFmtId="0" fontId="15" fillId="3" borderId="14" xfId="0" applyFont="1" applyFill="1" applyBorder="1" applyAlignment="1">
      <alignment vertical="top" wrapText="1"/>
    </xf>
    <xf numFmtId="0" fontId="17" fillId="3" borderId="6" xfId="0" applyFont="1" applyFill="1" applyBorder="1" applyAlignment="1">
      <alignment vertical="top" wrapText="1"/>
    </xf>
    <xf numFmtId="0" fontId="14" fillId="3" borderId="33" xfId="0" applyFont="1" applyFill="1" applyBorder="1" applyAlignment="1">
      <alignment vertical="top" wrapText="1"/>
    </xf>
    <xf numFmtId="0" fontId="8" fillId="3" borderId="30" xfId="0" applyFont="1" applyFill="1" applyBorder="1" applyAlignment="1">
      <alignment vertical="top" wrapText="1"/>
    </xf>
    <xf numFmtId="0" fontId="8" fillId="3" borderId="31" xfId="0" applyFont="1" applyFill="1" applyBorder="1" applyAlignment="1">
      <alignment vertical="top" wrapText="1"/>
    </xf>
    <xf numFmtId="0" fontId="17" fillId="3" borderId="16" xfId="0" applyFont="1" applyFill="1" applyBorder="1" applyAlignment="1">
      <alignment vertical="top" wrapText="1"/>
    </xf>
    <xf numFmtId="0" fontId="17" fillId="3" borderId="37" xfId="0" applyFont="1" applyFill="1" applyBorder="1" applyAlignment="1">
      <alignment vertical="top" wrapText="1"/>
    </xf>
    <xf numFmtId="0" fontId="8" fillId="3" borderId="33" xfId="0" applyFont="1" applyFill="1" applyBorder="1" applyAlignment="1">
      <alignment vertical="top" wrapText="1"/>
    </xf>
    <xf numFmtId="0" fontId="8" fillId="3" borderId="16" xfId="0" applyFont="1" applyFill="1" applyBorder="1" applyAlignment="1">
      <alignment vertical="top" wrapText="1"/>
    </xf>
    <xf numFmtId="0" fontId="15" fillId="3" borderId="16" xfId="0" applyFont="1" applyFill="1" applyBorder="1" applyAlignment="1">
      <alignment vertical="top" wrapText="1"/>
    </xf>
    <xf numFmtId="0" fontId="8" fillId="6" borderId="16" xfId="0" applyFont="1" applyFill="1" applyBorder="1" applyAlignment="1">
      <alignment vertical="top" wrapText="1"/>
    </xf>
    <xf numFmtId="0" fontId="15" fillId="6" borderId="16" xfId="0" applyFont="1" applyFill="1" applyBorder="1" applyAlignment="1">
      <alignment vertical="top" wrapText="1"/>
    </xf>
    <xf numFmtId="0" fontId="8" fillId="6" borderId="33" xfId="0" applyFont="1" applyFill="1" applyBorder="1" applyAlignment="1">
      <alignment vertical="top" wrapText="1"/>
    </xf>
    <xf numFmtId="0" fontId="19" fillId="3" borderId="14" xfId="0" applyFont="1" applyFill="1" applyBorder="1" applyAlignment="1">
      <alignment vertical="top" wrapText="1"/>
    </xf>
    <xf numFmtId="0" fontId="14" fillId="3" borderId="30" xfId="0" applyFont="1" applyFill="1" applyBorder="1" applyAlignment="1">
      <alignment vertical="top" wrapText="1"/>
    </xf>
    <xf numFmtId="0" fontId="14" fillId="3" borderId="6" xfId="0" applyFont="1" applyFill="1" applyBorder="1" applyAlignment="1">
      <alignment vertical="top" wrapText="1"/>
    </xf>
    <xf numFmtId="0" fontId="20" fillId="3" borderId="6" xfId="0" applyFont="1" applyFill="1" applyBorder="1" applyAlignment="1">
      <alignment vertical="top" wrapText="1"/>
    </xf>
    <xf numFmtId="0" fontId="19" fillId="3" borderId="6" xfId="0" applyFont="1" applyFill="1" applyBorder="1" applyAlignment="1">
      <alignment vertical="top" wrapText="1"/>
    </xf>
    <xf numFmtId="0" fontId="14" fillId="3" borderId="22" xfId="0" applyFont="1" applyFill="1" applyBorder="1" applyAlignment="1">
      <alignment vertical="top" wrapText="1"/>
    </xf>
    <xf numFmtId="0" fontId="14" fillId="3" borderId="31" xfId="0" applyFont="1" applyFill="1" applyBorder="1" applyAlignment="1">
      <alignment vertical="top" wrapText="1"/>
    </xf>
    <xf numFmtId="0" fontId="19" fillId="3" borderId="16" xfId="0" applyFont="1" applyFill="1" applyBorder="1" applyAlignment="1">
      <alignment vertical="top" wrapText="1"/>
    </xf>
    <xf numFmtId="0" fontId="22" fillId="8" borderId="0" xfId="0" applyFont="1" applyFill="1"/>
    <xf numFmtId="0" fontId="23" fillId="0" borderId="43" xfId="0" applyFont="1" applyBorder="1"/>
    <xf numFmtId="0" fontId="0" fillId="0" borderId="43" xfId="0" applyBorder="1"/>
    <xf numFmtId="14" fontId="0" fillId="0" borderId="0" xfId="0" applyNumberFormat="1"/>
    <xf numFmtId="0" fontId="24" fillId="3" borderId="16" xfId="0" applyFont="1" applyFill="1" applyBorder="1" applyAlignment="1">
      <alignment vertical="top" wrapText="1"/>
    </xf>
    <xf numFmtId="0" fontId="8" fillId="7" borderId="6" xfId="0" applyFont="1" applyFill="1" applyBorder="1" applyAlignment="1">
      <alignment vertical="top" wrapText="1"/>
    </xf>
    <xf numFmtId="0" fontId="15" fillId="7" borderId="6" xfId="0" applyFont="1" applyFill="1" applyBorder="1" applyAlignment="1">
      <alignment vertical="top" wrapText="1"/>
    </xf>
    <xf numFmtId="0" fontId="8" fillId="9" borderId="14" xfId="0" applyFont="1" applyFill="1" applyBorder="1" applyAlignment="1">
      <alignment vertical="top" wrapText="1"/>
    </xf>
    <xf numFmtId="0" fontId="8" fillId="9" borderId="6" xfId="0" applyFont="1" applyFill="1" applyBorder="1" applyAlignment="1">
      <alignment vertical="top" wrapText="1"/>
    </xf>
    <xf numFmtId="0" fontId="8" fillId="6" borderId="6" xfId="0" applyFont="1" applyFill="1" applyBorder="1" applyAlignment="1">
      <alignment vertical="top" wrapText="1"/>
    </xf>
    <xf numFmtId="0" fontId="11" fillId="6" borderId="6" xfId="0" applyFont="1" applyFill="1" applyBorder="1" applyAlignment="1">
      <alignment vertical="top" wrapText="1"/>
    </xf>
    <xf numFmtId="0" fontId="11" fillId="6" borderId="16" xfId="0" applyFont="1" applyFill="1" applyBorder="1" applyAlignment="1">
      <alignment vertical="top" wrapText="1"/>
    </xf>
    <xf numFmtId="0" fontId="8" fillId="6" borderId="14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25" fillId="3" borderId="14" xfId="0" applyFont="1" applyFill="1" applyBorder="1" applyAlignment="1">
      <alignment vertical="top" wrapText="1"/>
    </xf>
    <xf numFmtId="0" fontId="28" fillId="11" borderId="43" xfId="0" applyFont="1" applyFill="1" applyBorder="1"/>
    <xf numFmtId="0" fontId="29" fillId="11" borderId="43" xfId="0" applyFont="1" applyFill="1" applyBorder="1"/>
    <xf numFmtId="16" fontId="29" fillId="11" borderId="43" xfId="0" applyNumberFormat="1" applyFont="1" applyFill="1" applyBorder="1" applyAlignment="1">
      <alignment horizontal="center"/>
    </xf>
    <xf numFmtId="0" fontId="29" fillId="11" borderId="43" xfId="0" applyFont="1" applyFill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28" fillId="12" borderId="43" xfId="0" applyFont="1" applyFill="1" applyBorder="1"/>
    <xf numFmtId="0" fontId="29" fillId="12" borderId="43" xfId="0" applyFont="1" applyFill="1" applyBorder="1"/>
    <xf numFmtId="0" fontId="29" fillId="12" borderId="43" xfId="0" applyFont="1" applyFill="1" applyBorder="1" applyAlignment="1">
      <alignment horizontal="center"/>
    </xf>
    <xf numFmtId="16" fontId="29" fillId="12" borderId="43" xfId="0" applyNumberFormat="1" applyFont="1" applyFill="1" applyBorder="1" applyAlignment="1">
      <alignment horizontal="center"/>
    </xf>
    <xf numFmtId="0" fontId="29" fillId="12" borderId="43" xfId="0" applyFont="1" applyFill="1" applyBorder="1" applyAlignment="1">
      <alignment wrapText="1"/>
    </xf>
    <xf numFmtId="16" fontId="29" fillId="13" borderId="43" xfId="0" applyNumberFormat="1" applyFont="1" applyFill="1" applyBorder="1" applyAlignment="1">
      <alignment horizontal="center"/>
    </xf>
    <xf numFmtId="0" fontId="27" fillId="10" borderId="43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vertical="top" wrapText="1"/>
    </xf>
    <xf numFmtId="0" fontId="17" fillId="6" borderId="16" xfId="0" applyFont="1" applyFill="1" applyBorder="1" applyAlignment="1">
      <alignment vertical="top" wrapText="1"/>
    </xf>
    <xf numFmtId="0" fontId="25" fillId="3" borderId="6" xfId="0" applyFont="1" applyFill="1" applyBorder="1" applyAlignment="1">
      <alignment vertical="top" wrapText="1"/>
    </xf>
    <xf numFmtId="0" fontId="10" fillId="3" borderId="16" xfId="0" applyFont="1" applyFill="1" applyBorder="1" applyAlignment="1">
      <alignment vertical="top" wrapText="1"/>
    </xf>
    <xf numFmtId="0" fontId="31" fillId="3" borderId="6" xfId="0" applyFont="1" applyFill="1" applyBorder="1" applyAlignment="1">
      <alignment vertical="top" wrapText="1"/>
    </xf>
    <xf numFmtId="0" fontId="32" fillId="3" borderId="6" xfId="0" applyFont="1" applyFill="1" applyBorder="1" applyAlignment="1">
      <alignment vertical="top" wrapText="1"/>
    </xf>
    <xf numFmtId="0" fontId="32" fillId="3" borderId="16" xfId="0" applyFont="1" applyFill="1" applyBorder="1" applyAlignment="1">
      <alignment vertical="top" wrapText="1"/>
    </xf>
    <xf numFmtId="0" fontId="32" fillId="6" borderId="6" xfId="0" applyFont="1" applyFill="1" applyBorder="1" applyAlignment="1">
      <alignment vertical="top" wrapText="1"/>
    </xf>
    <xf numFmtId="0" fontId="10" fillId="3" borderId="14" xfId="0" applyFont="1" applyFill="1" applyBorder="1" applyAlignment="1">
      <alignment vertical="top" wrapText="1"/>
    </xf>
    <xf numFmtId="0" fontId="11" fillId="9" borderId="6" xfId="0" applyFont="1" applyFill="1" applyBorder="1" applyAlignment="1">
      <alignment vertical="top" wrapText="1"/>
    </xf>
    <xf numFmtId="0" fontId="21" fillId="14" borderId="14" xfId="0" applyFont="1" applyFill="1" applyBorder="1" applyAlignment="1">
      <alignment vertical="top" wrapText="1"/>
    </xf>
    <xf numFmtId="0" fontId="14" fillId="3" borderId="37" xfId="0" applyFont="1" applyFill="1" applyBorder="1" applyAlignment="1">
      <alignment vertical="top" wrapText="1"/>
    </xf>
    <xf numFmtId="0" fontId="8" fillId="9" borderId="41" xfId="0" applyFont="1" applyFill="1" applyBorder="1" applyAlignment="1">
      <alignment vertical="top" wrapText="1"/>
    </xf>
    <xf numFmtId="0" fontId="8" fillId="9" borderId="37" xfId="0" applyFont="1" applyFill="1" applyBorder="1" applyAlignment="1">
      <alignment vertical="top" wrapText="1"/>
    </xf>
    <xf numFmtId="0" fontId="11" fillId="9" borderId="42" xfId="0" applyFont="1" applyFill="1" applyBorder="1" applyAlignment="1">
      <alignment vertical="top" wrapText="1"/>
    </xf>
    <xf numFmtId="0" fontId="15" fillId="6" borderId="14" xfId="0" applyFont="1" applyFill="1" applyBorder="1" applyAlignment="1">
      <alignment vertical="top" wrapText="1"/>
    </xf>
    <xf numFmtId="0" fontId="8" fillId="7" borderId="14" xfId="0" applyFont="1" applyFill="1" applyBorder="1" applyAlignment="1">
      <alignment vertical="top" wrapText="1"/>
    </xf>
    <xf numFmtId="0" fontId="34" fillId="3" borderId="14" xfId="0" applyFont="1" applyFill="1" applyBorder="1" applyAlignment="1">
      <alignment vertical="top" wrapText="1"/>
    </xf>
    <xf numFmtId="0" fontId="34" fillId="3" borderId="6" xfId="0" applyFont="1" applyFill="1" applyBorder="1" applyAlignment="1">
      <alignment vertical="top" wrapText="1"/>
    </xf>
    <xf numFmtId="0" fontId="34" fillId="3" borderId="16" xfId="0" applyFont="1" applyFill="1" applyBorder="1" applyAlignment="1">
      <alignment vertical="top" wrapText="1"/>
    </xf>
    <xf numFmtId="0" fontId="25" fillId="3" borderId="16" xfId="0" applyFont="1" applyFill="1" applyBorder="1" applyAlignment="1">
      <alignment vertical="top" wrapText="1"/>
    </xf>
    <xf numFmtId="0" fontId="24" fillId="9" borderId="16" xfId="0" applyFont="1" applyFill="1" applyBorder="1" applyAlignment="1">
      <alignment vertical="top" wrapText="1"/>
    </xf>
    <xf numFmtId="0" fontId="15" fillId="9" borderId="14" xfId="0" applyFont="1" applyFill="1" applyBorder="1" applyAlignment="1">
      <alignment vertical="top" wrapText="1"/>
    </xf>
    <xf numFmtId="0" fontId="15" fillId="9" borderId="6" xfId="0" applyFont="1" applyFill="1" applyBorder="1" applyAlignment="1">
      <alignment vertical="top" wrapText="1"/>
    </xf>
    <xf numFmtId="0" fontId="35" fillId="3" borderId="14" xfId="0" applyFont="1" applyFill="1" applyBorder="1" applyAlignment="1">
      <alignment vertical="top" wrapText="1"/>
    </xf>
    <xf numFmtId="0" fontId="35" fillId="3" borderId="6" xfId="0" applyFont="1" applyFill="1" applyBorder="1" applyAlignment="1">
      <alignment vertical="top" wrapText="1"/>
    </xf>
    <xf numFmtId="0" fontId="11" fillId="7" borderId="16" xfId="0" applyFont="1" applyFill="1" applyBorder="1" applyAlignment="1">
      <alignment vertical="top" wrapText="1"/>
    </xf>
    <xf numFmtId="0" fontId="11" fillId="9" borderId="16" xfId="0" applyFont="1" applyFill="1" applyBorder="1" applyAlignment="1">
      <alignment vertical="top" wrapText="1"/>
    </xf>
    <xf numFmtId="0" fontId="25" fillId="9" borderId="14" xfId="0" applyFont="1" applyFill="1" applyBorder="1" applyAlignment="1">
      <alignment vertical="top" wrapText="1"/>
    </xf>
    <xf numFmtId="0" fontId="36" fillId="3" borderId="14" xfId="0" applyFont="1" applyFill="1" applyBorder="1" applyAlignment="1">
      <alignment vertical="top" wrapText="1"/>
    </xf>
    <xf numFmtId="0" fontId="17" fillId="9" borderId="16" xfId="0" applyFont="1" applyFill="1" applyBorder="1" applyAlignment="1">
      <alignment vertical="top" wrapText="1"/>
    </xf>
    <xf numFmtId="0" fontId="8" fillId="9" borderId="16" xfId="0" applyFont="1" applyFill="1" applyBorder="1" applyAlignment="1">
      <alignment vertical="top" wrapText="1"/>
    </xf>
    <xf numFmtId="0" fontId="28" fillId="9" borderId="43" xfId="0" applyFont="1" applyFill="1" applyBorder="1"/>
    <xf numFmtId="0" fontId="29" fillId="9" borderId="43" xfId="0" applyFont="1" applyFill="1" applyBorder="1"/>
    <xf numFmtId="16" fontId="29" fillId="9" borderId="43" xfId="0" applyNumberFormat="1" applyFont="1" applyFill="1" applyBorder="1" applyAlignment="1">
      <alignment horizontal="center"/>
    </xf>
    <xf numFmtId="0" fontId="30" fillId="9" borderId="43" xfId="0" applyFont="1" applyFill="1" applyBorder="1" applyAlignment="1">
      <alignment horizontal="center"/>
    </xf>
    <xf numFmtId="0" fontId="8" fillId="15" borderId="6" xfId="0" applyFont="1" applyFill="1" applyBorder="1" applyAlignment="1">
      <alignment vertical="top" wrapText="1"/>
    </xf>
    <xf numFmtId="0" fontId="25" fillId="9" borderId="6" xfId="0" applyFont="1" applyFill="1" applyBorder="1" applyAlignment="1">
      <alignment vertical="top" wrapText="1"/>
    </xf>
    <xf numFmtId="0" fontId="36" fillId="6" borderId="6" xfId="0" applyFont="1" applyFill="1" applyBorder="1" applyAlignment="1">
      <alignment vertical="top" wrapText="1"/>
    </xf>
    <xf numFmtId="0" fontId="36" fillId="6" borderId="14" xfId="0" applyFont="1" applyFill="1" applyBorder="1" applyAlignment="1">
      <alignment vertical="top" wrapTex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EE2DC4AA-52C8-4022-90B3-D019DB115C71}"/>
    <cellStyle name="Normal 2 2" xfId="3" xr:uid="{1A6451FD-0DAA-C14A-9615-4816EB7EFE0C}"/>
    <cellStyle name="Normal 3" xfId="2" xr:uid="{2944D151-8168-4155-A7C2-6E6C797ED87C}"/>
  </cellStyles>
  <dxfs count="1">
    <dxf>
      <numFmt numFmtId="19" formatCode="m/d/yyyy"/>
    </dxf>
  </dxfs>
  <tableStyles count="0" defaultTableStyle="TableStyleMedium2" defaultPivotStyle="PivotStyleLight16"/>
  <colors>
    <mruColors>
      <color rgb="FFFF66FF"/>
      <color rgb="FFDCDAF8"/>
      <color rgb="FFFBFFE0"/>
      <color rgb="FFEFFB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073FD-4968-48A5-A199-659BFF70B83F}" name="ComparisonTable" displayName="ComparisonTable" ref="A1:H2" totalsRowShown="0">
  <autoFilter ref="A1:H2" xr:uid="{E2E073FD-4968-48A5-A199-659BFF70B83F}"/>
  <tableColumns count="8">
    <tableColumn id="2" xr3:uid="{6755BDD4-E7E2-4322-924E-0DC737AE517C}" name="Source"/>
    <tableColumn id="3" xr3:uid="{C8A4CDAE-AF85-40FE-90B8-4DEDC29F23F3}" name="CDL_Name"/>
    <tableColumn id="4" xr3:uid="{CA22F60B-3CC8-4BF7-9478-7B4E8770BD87}" name="Week_Start" dataDxfId="0"/>
    <tableColumn id="5" xr3:uid="{4A2D8D24-4633-44C1-8F23-C93C8D7ACB91}" name="Original_Activity"/>
    <tableColumn id="6" xr3:uid="{B4E035FC-E336-424A-8FE7-B93D358690CE}" name="Standard_Activity"/>
    <tableColumn id="7" xr3:uid="{0BBDF5CA-5A7C-4A1A-8DFF-8D112AD8980A}" name="Mapping_Status"/>
    <tableColumn id="8" xr3:uid="{9FAA0337-08B0-4964-8E38-02CEDEDE4D70}" name="Match_Key"/>
    <tableColumn id="9" xr3:uid="{6722465D-9F51-4A4E-B4AB-56F24B34DE49}" name="Comparison_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6B1-01DD-0440-B48B-A3E3C486527B}">
  <dimension ref="A1:O37"/>
  <sheetViews>
    <sheetView showGridLines="0" tabSelected="1" zoomScale="90" zoomScaleNormal="90" workbookViewId="0">
      <pane xSplit="1" ySplit="2" topLeftCell="B14" activePane="bottomRight" state="frozen"/>
      <selection pane="bottomRight" activeCell="E23" sqref="E23"/>
      <selection pane="bottomLeft" activeCell="AG3" sqref="AG3"/>
      <selection pane="topRight" activeCell="AG3" sqref="AG3"/>
    </sheetView>
  </sheetViews>
  <sheetFormatPr defaultColWidth="37.875" defaultRowHeight="15"/>
  <cols>
    <col min="1" max="1" width="6.875" style="2" bestFit="1" customWidth="1"/>
    <col min="2" max="2" width="25.375" style="3" customWidth="1"/>
    <col min="3" max="3" width="33.5" style="3" customWidth="1"/>
    <col min="4" max="4" width="21" style="3" customWidth="1"/>
    <col min="5" max="5" width="31" style="3" customWidth="1"/>
    <col min="6" max="6" width="26.375" style="3" customWidth="1"/>
    <col min="7" max="7" width="26.75" style="3" customWidth="1"/>
    <col min="8" max="8" width="33.75" style="3" customWidth="1"/>
    <col min="9" max="9" width="26.375" style="3" bestFit="1" customWidth="1"/>
    <col min="10" max="10" width="25.75" style="3" customWidth="1"/>
    <col min="11" max="11" width="26.25" style="3" customWidth="1"/>
    <col min="12" max="12" width="21.25" style="3" customWidth="1"/>
    <col min="13" max="13" width="31.75" style="3" customWidth="1"/>
    <col min="14" max="14" width="25.125" style="3" customWidth="1"/>
    <col min="15" max="16384" width="37.875" style="3"/>
  </cols>
  <sheetData>
    <row r="1" spans="1:15" s="1" customFormat="1" thickBot="1">
      <c r="A1" s="18" t="s">
        <v>0</v>
      </c>
      <c r="B1" s="19">
        <v>46209</v>
      </c>
      <c r="C1" s="19">
        <f t="shared" ref="C1" si="0">B1+7</f>
        <v>46216</v>
      </c>
      <c r="D1" s="19">
        <f t="shared" ref="D1" si="1">C1+7</f>
        <v>46223</v>
      </c>
      <c r="E1" s="19">
        <f t="shared" ref="E1" si="2">D1+7</f>
        <v>46230</v>
      </c>
      <c r="F1" s="19">
        <f t="shared" ref="F1" si="3">E1+7</f>
        <v>46237</v>
      </c>
      <c r="G1" s="19">
        <f t="shared" ref="G1" si="4">F1+7</f>
        <v>46244</v>
      </c>
      <c r="H1" s="19">
        <f t="shared" ref="H1" si="5">G1+7</f>
        <v>46251</v>
      </c>
      <c r="I1" s="19">
        <f t="shared" ref="I1" si="6">H1+7</f>
        <v>46258</v>
      </c>
      <c r="J1" s="19">
        <f t="shared" ref="J1" si="7">I1+7</f>
        <v>46265</v>
      </c>
      <c r="K1" s="19">
        <f t="shared" ref="K1" si="8">J1+7</f>
        <v>46272</v>
      </c>
      <c r="L1" s="19">
        <f t="shared" ref="L1" si="9">K1+7</f>
        <v>46279</v>
      </c>
      <c r="M1" s="19">
        <f t="shared" ref="M1" si="10">L1+7</f>
        <v>46286</v>
      </c>
      <c r="N1" s="19">
        <f t="shared" ref="N1" si="11">M1+7</f>
        <v>46293</v>
      </c>
    </row>
    <row r="2" spans="1:15" s="2" customFormat="1" ht="15.75">
      <c r="A2" s="16" t="s">
        <v>1</v>
      </c>
      <c r="B2" s="17">
        <v>46213</v>
      </c>
      <c r="C2" s="17">
        <f t="shared" ref="C2:N2" si="12">C1+4</f>
        <v>46220</v>
      </c>
      <c r="D2" s="17">
        <f t="shared" si="12"/>
        <v>46227</v>
      </c>
      <c r="E2" s="17">
        <f t="shared" si="12"/>
        <v>46234</v>
      </c>
      <c r="F2" s="17">
        <f t="shared" si="12"/>
        <v>46241</v>
      </c>
      <c r="G2" s="17">
        <f t="shared" si="12"/>
        <v>46248</v>
      </c>
      <c r="H2" s="17">
        <f t="shared" si="12"/>
        <v>46255</v>
      </c>
      <c r="I2" s="17">
        <f t="shared" si="12"/>
        <v>46262</v>
      </c>
      <c r="J2" s="17">
        <f t="shared" si="12"/>
        <v>46269</v>
      </c>
      <c r="K2" s="17">
        <f t="shared" si="12"/>
        <v>46276</v>
      </c>
      <c r="L2" s="17">
        <f t="shared" si="12"/>
        <v>46283</v>
      </c>
      <c r="M2" s="17">
        <f t="shared" si="12"/>
        <v>46290</v>
      </c>
      <c r="N2" s="17">
        <f t="shared" si="12"/>
        <v>46297</v>
      </c>
    </row>
    <row r="3" spans="1:15" ht="33" customHeight="1">
      <c r="A3" s="121" t="s">
        <v>2</v>
      </c>
      <c r="B3" s="55" t="s">
        <v>3</v>
      </c>
      <c r="C3" s="12" t="s">
        <v>4</v>
      </c>
      <c r="D3" s="97" t="s">
        <v>5</v>
      </c>
      <c r="E3" s="12" t="s">
        <v>6</v>
      </c>
      <c r="F3" s="62" t="s">
        <v>7</v>
      </c>
      <c r="G3" s="27" t="s">
        <v>8</v>
      </c>
      <c r="H3" s="27" t="s">
        <v>8</v>
      </c>
      <c r="I3" s="90" t="s">
        <v>9</v>
      </c>
      <c r="J3" s="12" t="s">
        <v>9</v>
      </c>
      <c r="K3" s="40" t="s">
        <v>10</v>
      </c>
      <c r="L3" s="12" t="s">
        <v>11</v>
      </c>
      <c r="M3" s="27"/>
      <c r="N3" s="30"/>
    </row>
    <row r="4" spans="1:15" ht="31.5" customHeight="1">
      <c r="A4" s="122"/>
      <c r="B4" s="56" t="s">
        <v>3</v>
      </c>
      <c r="C4" s="56" t="s">
        <v>3</v>
      </c>
      <c r="D4" s="98" t="s">
        <v>5</v>
      </c>
      <c r="E4" s="24" t="s">
        <v>12</v>
      </c>
      <c r="F4" s="24" t="s">
        <v>7</v>
      </c>
      <c r="G4" s="24" t="s">
        <v>8</v>
      </c>
      <c r="H4" s="24" t="s">
        <v>8</v>
      </c>
      <c r="I4" s="6" t="s">
        <v>9</v>
      </c>
      <c r="J4" s="6" t="s">
        <v>13</v>
      </c>
      <c r="K4" s="24" t="s">
        <v>9</v>
      </c>
      <c r="L4" s="14" t="s">
        <v>11</v>
      </c>
      <c r="M4" s="6"/>
      <c r="N4" s="31"/>
      <c r="O4" s="33"/>
    </row>
    <row r="5" spans="1:15" ht="36" customHeight="1">
      <c r="A5" s="122"/>
      <c r="B5" s="6" t="s">
        <v>4</v>
      </c>
      <c r="C5" s="56" t="s">
        <v>3</v>
      </c>
      <c r="D5" s="98" t="s">
        <v>5</v>
      </c>
      <c r="E5" s="24" t="s">
        <v>12</v>
      </c>
      <c r="F5" s="6" t="s">
        <v>14</v>
      </c>
      <c r="G5" s="6" t="s">
        <v>8</v>
      </c>
      <c r="H5" s="6" t="s">
        <v>8</v>
      </c>
      <c r="I5" s="15" t="s">
        <v>9</v>
      </c>
      <c r="J5" s="15" t="s">
        <v>13</v>
      </c>
      <c r="K5" s="6" t="s">
        <v>9</v>
      </c>
      <c r="L5" s="6" t="s">
        <v>11</v>
      </c>
      <c r="M5" s="6"/>
      <c r="N5" s="31"/>
    </row>
    <row r="6" spans="1:15" ht="38.25" customHeight="1">
      <c r="A6" s="122"/>
      <c r="B6" s="6" t="s">
        <v>4</v>
      </c>
      <c r="C6" s="84" t="s">
        <v>3</v>
      </c>
      <c r="D6" s="77" t="s">
        <v>15</v>
      </c>
      <c r="E6" s="24" t="s">
        <v>12</v>
      </c>
      <c r="F6" s="24" t="s">
        <v>16</v>
      </c>
      <c r="G6" s="6" t="s">
        <v>8</v>
      </c>
      <c r="H6" s="6" t="s">
        <v>8</v>
      </c>
      <c r="I6" s="28" t="s">
        <v>9</v>
      </c>
      <c r="J6" s="28" t="s">
        <v>17</v>
      </c>
      <c r="K6" s="24" t="s">
        <v>9</v>
      </c>
      <c r="L6" s="24" t="s">
        <v>18</v>
      </c>
      <c r="M6" s="6"/>
      <c r="N6" s="25"/>
    </row>
    <row r="7" spans="1:15" ht="42" customHeight="1">
      <c r="A7" s="123"/>
      <c r="B7" s="13" t="s">
        <v>4</v>
      </c>
      <c r="C7" s="96" t="s">
        <v>19</v>
      </c>
      <c r="D7" s="95" t="s">
        <v>20</v>
      </c>
      <c r="E7" s="52" t="s">
        <v>21</v>
      </c>
      <c r="F7" s="13" t="s">
        <v>22</v>
      </c>
      <c r="G7" s="13" t="s">
        <v>8</v>
      </c>
      <c r="H7" s="13" t="s">
        <v>8</v>
      </c>
      <c r="I7" s="13" t="s">
        <v>9</v>
      </c>
      <c r="J7" s="13" t="s">
        <v>9</v>
      </c>
      <c r="K7" s="13" t="s">
        <v>9</v>
      </c>
      <c r="L7" s="35" t="s">
        <v>18</v>
      </c>
      <c r="M7" s="13"/>
      <c r="N7" s="29"/>
    </row>
    <row r="8" spans="1:15" ht="38.25">
      <c r="A8" s="124" t="s">
        <v>23</v>
      </c>
      <c r="B8" s="55" t="s">
        <v>4</v>
      </c>
      <c r="C8" s="55" t="s">
        <v>4</v>
      </c>
      <c r="D8" s="55" t="s">
        <v>24</v>
      </c>
      <c r="E8" s="97" t="s">
        <v>25</v>
      </c>
      <c r="F8" s="12" t="s">
        <v>26</v>
      </c>
      <c r="G8" s="40" t="s">
        <v>27</v>
      </c>
      <c r="H8" s="12" t="s">
        <v>28</v>
      </c>
      <c r="I8" s="12" t="s">
        <v>29</v>
      </c>
      <c r="J8" s="12" t="s">
        <v>30</v>
      </c>
      <c r="K8" s="27" t="s">
        <v>31</v>
      </c>
      <c r="L8" s="12" t="s">
        <v>31</v>
      </c>
      <c r="M8" s="27" t="s">
        <v>32</v>
      </c>
      <c r="N8" s="30" t="s">
        <v>32</v>
      </c>
    </row>
    <row r="9" spans="1:15" ht="63.75">
      <c r="A9" s="119"/>
      <c r="B9" s="56" t="s">
        <v>33</v>
      </c>
      <c r="C9" s="56" t="s">
        <v>4</v>
      </c>
      <c r="D9" s="56" t="s">
        <v>24</v>
      </c>
      <c r="E9" s="24" t="s">
        <v>34</v>
      </c>
      <c r="F9" s="6" t="s">
        <v>26</v>
      </c>
      <c r="G9" s="44" t="s">
        <v>27</v>
      </c>
      <c r="H9" s="6" t="s">
        <v>28</v>
      </c>
      <c r="I9" s="6" t="s">
        <v>29</v>
      </c>
      <c r="J9" s="44" t="s">
        <v>27</v>
      </c>
      <c r="K9" s="24" t="s">
        <v>31</v>
      </c>
      <c r="L9" s="14" t="s">
        <v>31</v>
      </c>
      <c r="M9" s="6" t="s">
        <v>32</v>
      </c>
      <c r="N9" s="31" t="s">
        <v>32</v>
      </c>
    </row>
    <row r="10" spans="1:15" ht="51">
      <c r="A10" s="119"/>
      <c r="B10" s="56" t="s">
        <v>4</v>
      </c>
      <c r="C10" s="56" t="s">
        <v>4</v>
      </c>
      <c r="D10" s="56" t="s">
        <v>35</v>
      </c>
      <c r="E10" s="24" t="s">
        <v>34</v>
      </c>
      <c r="F10" s="44" t="s">
        <v>27</v>
      </c>
      <c r="G10" s="42" t="s">
        <v>27</v>
      </c>
      <c r="H10" s="42" t="s">
        <v>27</v>
      </c>
      <c r="I10" s="15" t="s">
        <v>29</v>
      </c>
      <c r="J10" s="42" t="s">
        <v>27</v>
      </c>
      <c r="K10" s="6" t="s">
        <v>31</v>
      </c>
      <c r="L10" s="6"/>
      <c r="M10" s="6" t="s">
        <v>32</v>
      </c>
      <c r="N10" s="31" t="s">
        <v>32</v>
      </c>
    </row>
    <row r="11" spans="1:15" ht="38.25">
      <c r="A11" s="119"/>
      <c r="B11" s="56" t="s">
        <v>4</v>
      </c>
      <c r="C11" s="84" t="s">
        <v>4</v>
      </c>
      <c r="D11" s="84" t="s">
        <v>4</v>
      </c>
      <c r="E11" s="24" t="s">
        <v>34</v>
      </c>
      <c r="F11" s="15" t="s">
        <v>26</v>
      </c>
      <c r="G11" s="42" t="s">
        <v>27</v>
      </c>
      <c r="H11" s="6" t="s">
        <v>28</v>
      </c>
      <c r="I11" s="28" t="s">
        <v>29</v>
      </c>
      <c r="J11" s="42" t="s">
        <v>27</v>
      </c>
      <c r="K11" s="24" t="s">
        <v>31</v>
      </c>
      <c r="L11" s="24" t="s">
        <v>18</v>
      </c>
      <c r="M11" s="6" t="s">
        <v>32</v>
      </c>
      <c r="N11" s="25"/>
    </row>
    <row r="12" spans="1:15" ht="38.25">
      <c r="A12" s="125"/>
      <c r="B12" s="102" t="s">
        <v>4</v>
      </c>
      <c r="C12" s="102" t="s">
        <v>4</v>
      </c>
      <c r="D12" s="102" t="s">
        <v>4</v>
      </c>
      <c r="E12" s="32" t="s">
        <v>34</v>
      </c>
      <c r="F12" s="78" t="s">
        <v>26</v>
      </c>
      <c r="G12" s="23" t="s">
        <v>27</v>
      </c>
      <c r="H12" s="13" t="s">
        <v>28</v>
      </c>
      <c r="I12" s="13" t="s">
        <v>36</v>
      </c>
      <c r="J12" s="23" t="s">
        <v>27</v>
      </c>
      <c r="K12" s="13" t="s">
        <v>31</v>
      </c>
      <c r="L12" s="35" t="s">
        <v>18</v>
      </c>
      <c r="M12" s="13" t="s">
        <v>32</v>
      </c>
      <c r="N12" s="29" t="s">
        <v>27</v>
      </c>
    </row>
    <row r="13" spans="1:15" ht="63.75">
      <c r="A13" s="126" t="s">
        <v>37</v>
      </c>
      <c r="B13" s="12" t="s">
        <v>4</v>
      </c>
      <c r="C13" s="12" t="s">
        <v>4</v>
      </c>
      <c r="D13" s="12" t="s">
        <v>38</v>
      </c>
      <c r="E13" s="97" t="s">
        <v>25</v>
      </c>
      <c r="F13" s="83" t="s">
        <v>39</v>
      </c>
      <c r="G13" s="99" t="s">
        <v>40</v>
      </c>
      <c r="H13" s="12" t="s">
        <v>41</v>
      </c>
      <c r="I13" s="83" t="s">
        <v>42</v>
      </c>
      <c r="J13" s="12"/>
      <c r="K13" s="27" t="s">
        <v>10</v>
      </c>
      <c r="L13" s="12"/>
      <c r="M13" s="27"/>
      <c r="N13" s="30"/>
    </row>
    <row r="14" spans="1:15" ht="76.5">
      <c r="A14" s="127"/>
      <c r="B14" s="6" t="s">
        <v>4</v>
      </c>
      <c r="C14" s="6" t="s">
        <v>4</v>
      </c>
      <c r="D14" s="6" t="s">
        <v>43</v>
      </c>
      <c r="E14" s="24" t="s">
        <v>44</v>
      </c>
      <c r="F14" s="15" t="s">
        <v>45</v>
      </c>
      <c r="G14" s="100" t="s">
        <v>46</v>
      </c>
      <c r="H14" s="6" t="s">
        <v>41</v>
      </c>
      <c r="I14" s="6" t="s">
        <v>42</v>
      </c>
      <c r="J14" s="6"/>
      <c r="K14" s="24"/>
      <c r="L14" s="14"/>
      <c r="M14" s="6"/>
      <c r="N14" s="31"/>
    </row>
    <row r="15" spans="1:15" ht="25.5">
      <c r="A15" s="127"/>
      <c r="B15" s="6" t="s">
        <v>4</v>
      </c>
      <c r="C15" s="6" t="s">
        <v>4</v>
      </c>
      <c r="D15" s="6" t="s">
        <v>4</v>
      </c>
      <c r="E15" s="24" t="s">
        <v>44</v>
      </c>
      <c r="F15" s="15" t="s">
        <v>45</v>
      </c>
      <c r="G15" s="15" t="s">
        <v>46</v>
      </c>
      <c r="H15" s="24" t="s">
        <v>41</v>
      </c>
      <c r="I15" s="15"/>
      <c r="J15" s="15"/>
      <c r="K15" s="6"/>
      <c r="L15" s="6"/>
      <c r="M15" s="6"/>
      <c r="N15" s="31"/>
    </row>
    <row r="16" spans="1:15" ht="25.5">
      <c r="A16" s="127"/>
      <c r="B16" s="6" t="s">
        <v>4</v>
      </c>
      <c r="C16" s="8" t="s">
        <v>4</v>
      </c>
      <c r="D16" s="6" t="s">
        <v>4</v>
      </c>
      <c r="E16" s="54" t="s">
        <v>47</v>
      </c>
      <c r="F16" s="15" t="s">
        <v>40</v>
      </c>
      <c r="G16" s="15" t="s">
        <v>46</v>
      </c>
      <c r="H16" s="6" t="s">
        <v>41</v>
      </c>
      <c r="I16" s="28"/>
      <c r="J16" s="28"/>
      <c r="K16" s="24"/>
      <c r="L16" s="24" t="s">
        <v>18</v>
      </c>
      <c r="M16" s="6"/>
      <c r="N16" s="25"/>
    </row>
    <row r="17" spans="1:14" ht="25.5">
      <c r="A17" s="128"/>
      <c r="B17" s="13" t="s">
        <v>4</v>
      </c>
      <c r="C17" s="13" t="s">
        <v>4</v>
      </c>
      <c r="D17" s="13" t="s">
        <v>4</v>
      </c>
      <c r="E17" s="32" t="s">
        <v>39</v>
      </c>
      <c r="F17" s="78" t="s">
        <v>40</v>
      </c>
      <c r="G17" s="78" t="s">
        <v>48</v>
      </c>
      <c r="H17" s="13"/>
      <c r="I17" s="13"/>
      <c r="J17" s="13"/>
      <c r="K17" s="13"/>
      <c r="L17" s="35" t="s">
        <v>18</v>
      </c>
      <c r="M17" s="13"/>
      <c r="N17" s="29"/>
    </row>
    <row r="18" spans="1:14">
      <c r="A18" s="129" t="s">
        <v>49</v>
      </c>
      <c r="B18" s="55" t="s">
        <v>4</v>
      </c>
      <c r="C18" s="55" t="s">
        <v>4</v>
      </c>
      <c r="D18" s="55" t="s">
        <v>4</v>
      </c>
      <c r="E18" s="55" t="s">
        <v>4</v>
      </c>
      <c r="F18" s="12"/>
      <c r="G18" s="27"/>
      <c r="H18" s="12"/>
      <c r="I18" s="22"/>
      <c r="J18" s="12"/>
      <c r="K18" s="27" t="s">
        <v>10</v>
      </c>
      <c r="L18" s="12"/>
      <c r="M18" s="27"/>
      <c r="N18" s="30"/>
    </row>
    <row r="19" spans="1:14">
      <c r="A19" s="127"/>
      <c r="B19" s="56" t="s">
        <v>4</v>
      </c>
      <c r="C19" s="56" t="s">
        <v>4</v>
      </c>
      <c r="D19" s="56" t="s">
        <v>4</v>
      </c>
      <c r="E19" s="56" t="s">
        <v>25</v>
      </c>
      <c r="F19" s="6"/>
      <c r="G19" s="24"/>
      <c r="H19" s="6"/>
      <c r="I19" s="6"/>
      <c r="J19" s="6"/>
      <c r="K19" s="24" t="s">
        <v>27</v>
      </c>
      <c r="L19" s="14"/>
      <c r="M19" s="6"/>
      <c r="N19" s="31"/>
    </row>
    <row r="20" spans="1:14">
      <c r="A20" s="127"/>
      <c r="B20" s="56" t="s">
        <v>4</v>
      </c>
      <c r="C20" s="56" t="s">
        <v>4</v>
      </c>
      <c r="D20" s="56" t="s">
        <v>4</v>
      </c>
      <c r="E20" s="75"/>
      <c r="F20" s="6"/>
      <c r="G20" s="6"/>
      <c r="H20" s="24"/>
      <c r="I20" s="15"/>
      <c r="J20" s="15"/>
      <c r="K20" s="6" t="s">
        <v>27</v>
      </c>
      <c r="L20" s="6"/>
      <c r="M20" s="6"/>
      <c r="N20" s="31"/>
    </row>
    <row r="21" spans="1:14">
      <c r="A21" s="127"/>
      <c r="B21" s="56" t="s">
        <v>4</v>
      </c>
      <c r="C21" s="84" t="s">
        <v>4</v>
      </c>
      <c r="D21" s="56" t="s">
        <v>4</v>
      </c>
      <c r="E21" s="79"/>
      <c r="F21" s="20"/>
      <c r="G21" s="6"/>
      <c r="H21" s="6"/>
      <c r="I21" s="28"/>
      <c r="J21" s="28"/>
      <c r="K21" s="24" t="s">
        <v>27</v>
      </c>
      <c r="L21" s="24" t="s">
        <v>18</v>
      </c>
      <c r="M21" s="6"/>
      <c r="N21" s="25"/>
    </row>
    <row r="22" spans="1:14">
      <c r="A22" s="128"/>
      <c r="B22" s="102" t="s">
        <v>4</v>
      </c>
      <c r="C22" s="102" t="s">
        <v>4</v>
      </c>
      <c r="D22" s="102" t="s">
        <v>4</v>
      </c>
      <c r="E22" s="32"/>
      <c r="F22" s="21"/>
      <c r="G22" s="23" t="s">
        <v>27</v>
      </c>
      <c r="H22" s="13"/>
      <c r="I22" s="13"/>
      <c r="J22" s="13"/>
      <c r="K22" s="13" t="s">
        <v>27</v>
      </c>
      <c r="L22" s="35" t="s">
        <v>18</v>
      </c>
      <c r="M22" s="13"/>
      <c r="N22" s="29"/>
    </row>
    <row r="23" spans="1:14">
      <c r="A23" s="130" t="s">
        <v>50</v>
      </c>
      <c r="B23" s="55" t="s">
        <v>4</v>
      </c>
      <c r="C23" s="55" t="s">
        <v>4</v>
      </c>
      <c r="D23" s="85" t="s">
        <v>51</v>
      </c>
      <c r="E23" s="114" t="s">
        <v>52</v>
      </c>
      <c r="F23" s="22" t="s">
        <v>27</v>
      </c>
      <c r="G23" s="27" t="s">
        <v>14</v>
      </c>
      <c r="H23" s="22" t="s">
        <v>27</v>
      </c>
      <c r="I23" s="83" t="s">
        <v>53</v>
      </c>
      <c r="J23" s="12" t="s">
        <v>54</v>
      </c>
      <c r="K23" s="27" t="s">
        <v>10</v>
      </c>
      <c r="L23" s="12" t="s">
        <v>54</v>
      </c>
      <c r="M23" s="27" t="s">
        <v>54</v>
      </c>
      <c r="N23" s="30" t="s">
        <v>54</v>
      </c>
    </row>
    <row r="24" spans="1:14">
      <c r="A24" s="130"/>
      <c r="B24" s="56" t="s">
        <v>4</v>
      </c>
      <c r="C24" s="56" t="s">
        <v>4</v>
      </c>
      <c r="D24" s="24" t="s">
        <v>52</v>
      </c>
      <c r="E24" s="24" t="s">
        <v>53</v>
      </c>
      <c r="F24" s="42" t="s">
        <v>27</v>
      </c>
      <c r="G24" s="24" t="s">
        <v>55</v>
      </c>
      <c r="H24" s="42" t="s">
        <v>27</v>
      </c>
      <c r="I24" s="15" t="s">
        <v>53</v>
      </c>
      <c r="J24" s="6" t="s">
        <v>54</v>
      </c>
      <c r="K24" s="6" t="s">
        <v>54</v>
      </c>
      <c r="L24" s="6" t="s">
        <v>54</v>
      </c>
      <c r="M24" s="6" t="s">
        <v>54</v>
      </c>
      <c r="N24" s="31" t="s">
        <v>54</v>
      </c>
    </row>
    <row r="25" spans="1:14">
      <c r="A25" s="130"/>
      <c r="B25" s="56" t="s">
        <v>4</v>
      </c>
      <c r="C25" s="56" t="s">
        <v>4</v>
      </c>
      <c r="D25" s="24" t="s">
        <v>52</v>
      </c>
      <c r="E25" s="24" t="s">
        <v>53</v>
      </c>
      <c r="F25" s="42" t="s">
        <v>27</v>
      </c>
      <c r="G25" s="6" t="s">
        <v>53</v>
      </c>
      <c r="H25" s="44" t="s">
        <v>27</v>
      </c>
      <c r="I25" s="15" t="s">
        <v>53</v>
      </c>
      <c r="J25" s="15" t="s">
        <v>54</v>
      </c>
      <c r="K25" s="15" t="s">
        <v>54</v>
      </c>
      <c r="L25" s="15" t="s">
        <v>54</v>
      </c>
      <c r="M25" s="6" t="s">
        <v>54</v>
      </c>
      <c r="N25" s="31" t="s">
        <v>54</v>
      </c>
    </row>
    <row r="26" spans="1:14">
      <c r="A26" s="130"/>
      <c r="B26" s="56" t="s">
        <v>4</v>
      </c>
      <c r="C26" s="84" t="s">
        <v>4</v>
      </c>
      <c r="D26" s="24" t="s">
        <v>52</v>
      </c>
      <c r="E26" s="24" t="s">
        <v>53</v>
      </c>
      <c r="F26" s="42" t="s">
        <v>27</v>
      </c>
      <c r="G26" s="6" t="s">
        <v>53</v>
      </c>
      <c r="H26" s="42" t="s">
        <v>27</v>
      </c>
      <c r="I26" s="28" t="s">
        <v>54</v>
      </c>
      <c r="J26" s="28" t="s">
        <v>54</v>
      </c>
      <c r="K26" s="24" t="s">
        <v>27</v>
      </c>
      <c r="L26" s="24" t="s">
        <v>18</v>
      </c>
      <c r="M26" s="6" t="s">
        <v>54</v>
      </c>
      <c r="N26" s="25"/>
    </row>
    <row r="27" spans="1:14">
      <c r="A27" s="131"/>
      <c r="B27" s="102" t="s">
        <v>4</v>
      </c>
      <c r="C27" s="102" t="s">
        <v>4</v>
      </c>
      <c r="D27" s="32" t="s">
        <v>52</v>
      </c>
      <c r="E27" s="32" t="s">
        <v>53</v>
      </c>
      <c r="F27" s="23" t="s">
        <v>27</v>
      </c>
      <c r="G27" s="23" t="s">
        <v>27</v>
      </c>
      <c r="H27" s="23" t="s">
        <v>27</v>
      </c>
      <c r="I27" s="13" t="s">
        <v>54</v>
      </c>
      <c r="J27" s="13" t="s">
        <v>54</v>
      </c>
      <c r="K27" s="13" t="s">
        <v>27</v>
      </c>
      <c r="L27" s="35" t="s">
        <v>18</v>
      </c>
      <c r="M27" s="13" t="s">
        <v>54</v>
      </c>
      <c r="N27" s="29"/>
    </row>
    <row r="28" spans="1:14" s="26" customFormat="1" hidden="1">
      <c r="A28" s="115" t="s">
        <v>56</v>
      </c>
      <c r="B28" s="22" t="s">
        <v>4</v>
      </c>
      <c r="C28" s="22" t="s">
        <v>4</v>
      </c>
      <c r="D28" s="22" t="s">
        <v>4</v>
      </c>
      <c r="E28" s="40"/>
      <c r="F28" s="22"/>
      <c r="G28" s="40"/>
      <c r="H28" s="22"/>
      <c r="I28" s="22"/>
      <c r="J28" s="22"/>
      <c r="K28" s="40" t="s">
        <v>10</v>
      </c>
      <c r="L28" s="22"/>
      <c r="M28" s="40"/>
      <c r="N28" s="41"/>
    </row>
    <row r="29" spans="1:14" s="26" customFormat="1" hidden="1">
      <c r="A29" s="116"/>
      <c r="B29" s="42" t="s">
        <v>4</v>
      </c>
      <c r="C29" s="42" t="s">
        <v>4</v>
      </c>
      <c r="D29" s="42" t="s">
        <v>4</v>
      </c>
      <c r="E29" s="43"/>
      <c r="F29" s="42"/>
      <c r="G29" s="44"/>
      <c r="H29" s="42"/>
      <c r="I29" s="42"/>
      <c r="J29" s="42"/>
      <c r="K29" s="44"/>
      <c r="L29" s="45"/>
      <c r="M29" s="42"/>
      <c r="N29" s="46"/>
    </row>
    <row r="30" spans="1:14" s="26" customFormat="1" hidden="1">
      <c r="A30" s="116"/>
      <c r="B30" s="42" t="s">
        <v>4</v>
      </c>
      <c r="C30" s="42" t="s">
        <v>4</v>
      </c>
      <c r="D30" s="42" t="s">
        <v>4</v>
      </c>
      <c r="E30" s="44"/>
      <c r="F30" s="42"/>
      <c r="G30" s="42"/>
      <c r="H30" s="44"/>
      <c r="I30" s="42"/>
      <c r="J30" s="42"/>
      <c r="K30" s="42"/>
      <c r="L30" s="42"/>
      <c r="M30" s="42"/>
      <c r="N30" s="46"/>
    </row>
    <row r="31" spans="1:14" s="26" customFormat="1" hidden="1">
      <c r="A31" s="116"/>
      <c r="B31" s="42" t="s">
        <v>4</v>
      </c>
      <c r="C31" s="42" t="s">
        <v>4</v>
      </c>
      <c r="D31" s="42" t="s">
        <v>4</v>
      </c>
      <c r="E31" s="44"/>
      <c r="F31" s="42"/>
      <c r="G31" s="42"/>
      <c r="H31" s="42"/>
      <c r="I31" s="44"/>
      <c r="J31" s="44"/>
      <c r="K31" s="44"/>
      <c r="L31" s="44"/>
      <c r="M31" s="42"/>
      <c r="N31" s="46"/>
    </row>
    <row r="32" spans="1:14" s="26" customFormat="1" hidden="1">
      <c r="A32" s="117"/>
      <c r="B32" s="23" t="s">
        <v>4</v>
      </c>
      <c r="C32" s="23" t="s">
        <v>4</v>
      </c>
      <c r="D32" s="23" t="s">
        <v>4</v>
      </c>
      <c r="E32" s="47"/>
      <c r="F32" s="23"/>
      <c r="G32" s="23"/>
      <c r="H32" s="23"/>
      <c r="I32" s="23"/>
      <c r="J32" s="23"/>
      <c r="K32" s="23"/>
      <c r="L32" s="23"/>
      <c r="M32" s="23"/>
      <c r="N32" s="29"/>
    </row>
    <row r="33" spans="1:14" ht="38.25">
      <c r="A33" s="118" t="s">
        <v>57</v>
      </c>
      <c r="B33" s="12" t="s">
        <v>4</v>
      </c>
      <c r="C33" s="12" t="s">
        <v>4</v>
      </c>
      <c r="D33" s="103" t="s">
        <v>58</v>
      </c>
      <c r="E33" s="27" t="s">
        <v>59</v>
      </c>
      <c r="F33" s="12" t="s">
        <v>4</v>
      </c>
      <c r="G33" s="27" t="s">
        <v>60</v>
      </c>
      <c r="H33" s="12" t="s">
        <v>61</v>
      </c>
      <c r="I33" s="83" t="s">
        <v>62</v>
      </c>
      <c r="J33" s="12" t="s">
        <v>63</v>
      </c>
      <c r="K33" s="27" t="s">
        <v>64</v>
      </c>
      <c r="L33" s="12" t="s">
        <v>65</v>
      </c>
      <c r="M33" s="27" t="s">
        <v>66</v>
      </c>
      <c r="N33" s="30" t="s">
        <v>66</v>
      </c>
    </row>
    <row r="34" spans="1:14" ht="38.25">
      <c r="A34" s="119"/>
      <c r="B34" s="6" t="s">
        <v>4</v>
      </c>
      <c r="C34" s="6" t="s">
        <v>4</v>
      </c>
      <c r="D34" s="98" t="s">
        <v>58</v>
      </c>
      <c r="E34" s="77" t="s">
        <v>67</v>
      </c>
      <c r="F34" s="77" t="s">
        <v>68</v>
      </c>
      <c r="G34" s="24" t="s">
        <v>60</v>
      </c>
      <c r="H34" s="6" t="s">
        <v>61</v>
      </c>
      <c r="I34" s="6" t="s">
        <v>69</v>
      </c>
      <c r="J34" s="6" t="s">
        <v>70</v>
      </c>
      <c r="K34" s="24" t="s">
        <v>64</v>
      </c>
      <c r="L34" s="14" t="s">
        <v>71</v>
      </c>
      <c r="M34" s="6" t="s">
        <v>66</v>
      </c>
      <c r="N34" s="31" t="s">
        <v>66</v>
      </c>
    </row>
    <row r="35" spans="1:14" ht="38.25">
      <c r="A35" s="119"/>
      <c r="B35" s="6" t="s">
        <v>72</v>
      </c>
      <c r="C35" s="6" t="s">
        <v>4</v>
      </c>
      <c r="D35" s="98" t="s">
        <v>58</v>
      </c>
      <c r="E35" s="6" t="s">
        <v>4</v>
      </c>
      <c r="F35" s="77" t="s">
        <v>73</v>
      </c>
      <c r="G35" s="24" t="s">
        <v>60</v>
      </c>
      <c r="H35" s="24" t="s">
        <v>74</v>
      </c>
      <c r="I35" s="15" t="s">
        <v>63</v>
      </c>
      <c r="J35" s="6" t="s">
        <v>70</v>
      </c>
      <c r="K35" s="6" t="s">
        <v>71</v>
      </c>
      <c r="L35" s="6" t="s">
        <v>75</v>
      </c>
      <c r="M35" s="6" t="s">
        <v>66</v>
      </c>
      <c r="N35" s="31" t="s">
        <v>66</v>
      </c>
    </row>
    <row r="36" spans="1:14" ht="63.75">
      <c r="A36" s="119"/>
      <c r="B36" s="6" t="s">
        <v>4</v>
      </c>
      <c r="C36" s="28" t="s">
        <v>76</v>
      </c>
      <c r="D36" s="28" t="s">
        <v>77</v>
      </c>
      <c r="E36" s="44" t="s">
        <v>27</v>
      </c>
      <c r="F36" s="53" t="s">
        <v>25</v>
      </c>
      <c r="G36" s="6" t="s">
        <v>78</v>
      </c>
      <c r="H36" s="6" t="s">
        <v>61</v>
      </c>
      <c r="I36" s="28" t="s">
        <v>63</v>
      </c>
      <c r="J36" s="28" t="s">
        <v>64</v>
      </c>
      <c r="K36" s="24" t="s">
        <v>71</v>
      </c>
      <c r="L36" s="24" t="s">
        <v>18</v>
      </c>
      <c r="M36" s="6" t="s">
        <v>66</v>
      </c>
      <c r="N36" s="25" t="s">
        <v>66</v>
      </c>
    </row>
    <row r="37" spans="1:14" ht="38.25">
      <c r="A37" s="120"/>
      <c r="B37" s="13" t="s">
        <v>4</v>
      </c>
      <c r="C37" s="102" t="s">
        <v>79</v>
      </c>
      <c r="D37" s="13" t="s">
        <v>59</v>
      </c>
      <c r="E37" s="47" t="s">
        <v>27</v>
      </c>
      <c r="F37" s="101" t="s">
        <v>25</v>
      </c>
      <c r="G37" s="13" t="s">
        <v>78</v>
      </c>
      <c r="H37" s="13" t="s">
        <v>62</v>
      </c>
      <c r="I37" s="13" t="s">
        <v>63</v>
      </c>
      <c r="J37" s="13" t="s">
        <v>64</v>
      </c>
      <c r="K37" s="13" t="s">
        <v>71</v>
      </c>
      <c r="L37" s="35" t="s">
        <v>18</v>
      </c>
      <c r="M37" s="13" t="s">
        <v>66</v>
      </c>
      <c r="N37" s="34" t="s">
        <v>65</v>
      </c>
    </row>
  </sheetData>
  <autoFilter ref="A2:A28" xr:uid="{1B3B6AB7-C965-42AE-8D3E-38BCD8C2554C}"/>
  <mergeCells count="7">
    <mergeCell ref="A28:A32"/>
    <mergeCell ref="A33:A37"/>
    <mergeCell ref="A3:A7"/>
    <mergeCell ref="A8:A12"/>
    <mergeCell ref="A13:A17"/>
    <mergeCell ref="A18:A22"/>
    <mergeCell ref="A23:A27"/>
  </mergeCells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B944-DDA1-435B-8B07-C180F2639D1A}">
  <dimension ref="A1:N38"/>
  <sheetViews>
    <sheetView showGridLines="0" zoomScaleNormal="100" workbookViewId="0">
      <pane xSplit="1" ySplit="2" topLeftCell="B22" activePane="bottomRight" state="frozen"/>
      <selection pane="bottomRight" activeCell="E29" sqref="E29"/>
      <selection pane="bottomLeft" activeCell="AG3" sqref="AG3"/>
      <selection pane="topRight" activeCell="AG3" sqref="AG3"/>
    </sheetView>
  </sheetViews>
  <sheetFormatPr defaultColWidth="33.375" defaultRowHeight="14.45"/>
  <cols>
    <col min="1" max="1" width="12.375" style="2" customWidth="1"/>
    <col min="2" max="2" width="21.75" style="3" customWidth="1"/>
    <col min="3" max="3" width="24.875" style="3" customWidth="1"/>
    <col min="4" max="4" width="25" style="3" customWidth="1"/>
    <col min="5" max="5" width="31.375" style="3" customWidth="1"/>
    <col min="6" max="6" width="30.625" style="3" customWidth="1"/>
    <col min="7" max="7" width="33.375" style="3" customWidth="1"/>
    <col min="8" max="8" width="23.375" style="3" customWidth="1"/>
    <col min="9" max="9" width="29.25" style="3" customWidth="1"/>
    <col min="10" max="10" width="36.625" style="3" customWidth="1"/>
    <col min="11" max="11" width="26.875" style="3" customWidth="1"/>
    <col min="12" max="12" width="20.625" style="3" customWidth="1"/>
    <col min="13" max="13" width="24.625" style="3" customWidth="1"/>
    <col min="14" max="14" width="12.5" style="3" customWidth="1"/>
    <col min="15" max="16384" width="33.375" style="3"/>
  </cols>
  <sheetData>
    <row r="1" spans="1:14" s="1" customFormat="1" ht="15" thickBot="1">
      <c r="A1" s="4" t="s">
        <v>0</v>
      </c>
      <c r="B1" s="19">
        <v>46209</v>
      </c>
      <c r="C1" s="19">
        <f t="shared" ref="C1:N1" si="0">B1+7</f>
        <v>46216</v>
      </c>
      <c r="D1" s="19">
        <f t="shared" si="0"/>
        <v>46223</v>
      </c>
      <c r="E1" s="19">
        <f t="shared" si="0"/>
        <v>46230</v>
      </c>
      <c r="F1" s="19">
        <f t="shared" si="0"/>
        <v>46237</v>
      </c>
      <c r="G1" s="19">
        <f t="shared" si="0"/>
        <v>46244</v>
      </c>
      <c r="H1" s="19">
        <f t="shared" si="0"/>
        <v>46251</v>
      </c>
      <c r="I1" s="19">
        <f t="shared" si="0"/>
        <v>46258</v>
      </c>
      <c r="J1" s="19">
        <f t="shared" si="0"/>
        <v>46265</v>
      </c>
      <c r="K1" s="19">
        <f t="shared" si="0"/>
        <v>46272</v>
      </c>
      <c r="L1" s="19">
        <f t="shared" si="0"/>
        <v>46279</v>
      </c>
      <c r="M1" s="19">
        <f t="shared" si="0"/>
        <v>46286</v>
      </c>
      <c r="N1" s="19">
        <f t="shared" si="0"/>
        <v>46293</v>
      </c>
    </row>
    <row r="2" spans="1:14" s="2" customFormat="1" ht="15.75">
      <c r="A2" s="5" t="s">
        <v>1</v>
      </c>
      <c r="B2" s="17">
        <v>46213</v>
      </c>
      <c r="C2" s="17">
        <f t="shared" ref="C2:N2" si="1">C1+4</f>
        <v>46220</v>
      </c>
      <c r="D2" s="17">
        <f t="shared" si="1"/>
        <v>46227</v>
      </c>
      <c r="E2" s="17">
        <f t="shared" si="1"/>
        <v>46234</v>
      </c>
      <c r="F2" s="17">
        <f t="shared" si="1"/>
        <v>46241</v>
      </c>
      <c r="G2" s="17">
        <f t="shared" si="1"/>
        <v>46248</v>
      </c>
      <c r="H2" s="17">
        <f t="shared" si="1"/>
        <v>46255</v>
      </c>
      <c r="I2" s="17">
        <f t="shared" si="1"/>
        <v>46262</v>
      </c>
      <c r="J2" s="17">
        <f t="shared" si="1"/>
        <v>46269</v>
      </c>
      <c r="K2" s="17">
        <f t="shared" si="1"/>
        <v>46276</v>
      </c>
      <c r="L2" s="17">
        <f t="shared" si="1"/>
        <v>46283</v>
      </c>
      <c r="M2" s="17">
        <f t="shared" si="1"/>
        <v>46290</v>
      </c>
      <c r="N2" s="17">
        <f t="shared" si="1"/>
        <v>46297</v>
      </c>
    </row>
    <row r="3" spans="1:14" s="7" customFormat="1" ht="72" customHeight="1">
      <c r="A3" s="135" t="s">
        <v>80</v>
      </c>
      <c r="B3" s="55" t="s">
        <v>4</v>
      </c>
      <c r="C3" s="55" t="s">
        <v>4</v>
      </c>
      <c r="D3" s="55" t="s">
        <v>81</v>
      </c>
      <c r="E3" s="90" t="s">
        <v>82</v>
      </c>
      <c r="F3" s="12" t="s">
        <v>83</v>
      </c>
      <c r="G3" s="27" t="s">
        <v>84</v>
      </c>
      <c r="H3" s="12" t="s">
        <v>85</v>
      </c>
      <c r="I3" s="83" t="s">
        <v>85</v>
      </c>
      <c r="J3" s="12" t="s">
        <v>85</v>
      </c>
      <c r="K3" s="27"/>
      <c r="L3" s="12" t="s">
        <v>65</v>
      </c>
      <c r="M3" s="27"/>
      <c r="N3" s="30"/>
    </row>
    <row r="4" spans="1:14" s="7" customFormat="1" ht="52.5" customHeight="1">
      <c r="A4" s="136"/>
      <c r="B4" s="56" t="s">
        <v>4</v>
      </c>
      <c r="C4" s="56" t="s">
        <v>4</v>
      </c>
      <c r="D4" s="56" t="s">
        <v>86</v>
      </c>
      <c r="E4" s="24" t="s">
        <v>87</v>
      </c>
      <c r="F4" s="6" t="s">
        <v>83</v>
      </c>
      <c r="G4" s="24" t="s">
        <v>84</v>
      </c>
      <c r="H4" s="6" t="s">
        <v>85</v>
      </c>
      <c r="I4" s="6" t="s">
        <v>85</v>
      </c>
      <c r="J4" s="6" t="s">
        <v>85</v>
      </c>
      <c r="K4" s="24"/>
      <c r="L4" s="14"/>
      <c r="M4" s="6"/>
      <c r="N4" s="31"/>
    </row>
    <row r="5" spans="1:14" s="7" customFormat="1" ht="63" customHeight="1">
      <c r="A5" s="136"/>
      <c r="B5" s="56" t="s">
        <v>4</v>
      </c>
      <c r="C5" s="56" t="s">
        <v>88</v>
      </c>
      <c r="D5" s="56" t="s">
        <v>89</v>
      </c>
      <c r="E5" s="24" t="s">
        <v>87</v>
      </c>
      <c r="F5" s="6"/>
      <c r="G5" s="6" t="s">
        <v>84</v>
      </c>
      <c r="H5" s="24" t="s">
        <v>85</v>
      </c>
      <c r="I5" s="15" t="s">
        <v>85</v>
      </c>
      <c r="J5" s="15" t="s">
        <v>85</v>
      </c>
      <c r="K5" s="6"/>
      <c r="L5" s="6"/>
      <c r="M5" s="6"/>
      <c r="N5" s="31"/>
    </row>
    <row r="6" spans="1:14" s="7" customFormat="1" ht="54.75" customHeight="1">
      <c r="A6" s="136"/>
      <c r="B6" s="56" t="s">
        <v>4</v>
      </c>
      <c r="C6" s="98" t="s">
        <v>4</v>
      </c>
      <c r="D6" s="56" t="s">
        <v>90</v>
      </c>
      <c r="E6" s="24" t="s">
        <v>87</v>
      </c>
      <c r="F6" s="20"/>
      <c r="G6" s="6"/>
      <c r="H6" s="6" t="s">
        <v>85</v>
      </c>
      <c r="I6" s="28" t="s">
        <v>85</v>
      </c>
      <c r="J6" s="28" t="s">
        <v>85</v>
      </c>
      <c r="K6" s="24"/>
      <c r="L6" s="24" t="s">
        <v>18</v>
      </c>
      <c r="M6" s="6"/>
      <c r="N6" s="25"/>
    </row>
    <row r="7" spans="1:14" s="7" customFormat="1" ht="55.5" customHeight="1">
      <c r="A7" s="137"/>
      <c r="B7" s="102" t="s">
        <v>4</v>
      </c>
      <c r="C7" s="105" t="s">
        <v>4</v>
      </c>
      <c r="D7" s="106" t="s">
        <v>90</v>
      </c>
      <c r="E7" s="32" t="s">
        <v>83</v>
      </c>
      <c r="F7" s="21"/>
      <c r="G7" s="13"/>
      <c r="H7" s="13" t="s">
        <v>85</v>
      </c>
      <c r="I7" s="13" t="s">
        <v>85</v>
      </c>
      <c r="J7" s="13" t="s">
        <v>85</v>
      </c>
      <c r="K7" s="13"/>
      <c r="L7" s="35" t="s">
        <v>18</v>
      </c>
      <c r="M7" s="13"/>
      <c r="N7" s="34" t="s">
        <v>65</v>
      </c>
    </row>
    <row r="8" spans="1:14" ht="38.25">
      <c r="A8" s="138" t="s">
        <v>91</v>
      </c>
      <c r="B8" s="55" t="s">
        <v>92</v>
      </c>
      <c r="C8" s="55" t="s">
        <v>4</v>
      </c>
      <c r="D8" s="55" t="s">
        <v>4</v>
      </c>
      <c r="E8" s="92" t="s">
        <v>93</v>
      </c>
      <c r="F8" s="91" t="s">
        <v>25</v>
      </c>
      <c r="G8" s="27" t="s">
        <v>83</v>
      </c>
      <c r="H8" s="12" t="s">
        <v>13</v>
      </c>
      <c r="I8" s="22"/>
      <c r="J8" s="12"/>
      <c r="K8" s="27"/>
      <c r="L8" s="12"/>
      <c r="M8" s="27"/>
      <c r="N8" s="30"/>
    </row>
    <row r="9" spans="1:14" ht="38.25">
      <c r="A9" s="119"/>
      <c r="B9" s="56" t="s">
        <v>92</v>
      </c>
      <c r="C9" s="56" t="s">
        <v>4</v>
      </c>
      <c r="D9" s="56" t="s">
        <v>4</v>
      </c>
      <c r="E9" s="93" t="s">
        <v>93</v>
      </c>
      <c r="F9" s="24" t="s">
        <v>94</v>
      </c>
      <c r="G9" s="24" t="s">
        <v>83</v>
      </c>
      <c r="H9" s="6" t="s">
        <v>95</v>
      </c>
      <c r="I9" s="6"/>
      <c r="J9" s="6"/>
      <c r="K9" s="24"/>
      <c r="L9" s="14"/>
      <c r="M9" s="6"/>
      <c r="N9" s="31"/>
    </row>
    <row r="10" spans="1:14" ht="38.25">
      <c r="A10" s="119"/>
      <c r="B10" s="56" t="s">
        <v>92</v>
      </c>
      <c r="C10" s="56" t="s">
        <v>4</v>
      </c>
      <c r="D10" s="56" t="s">
        <v>4</v>
      </c>
      <c r="E10" s="93" t="s">
        <v>93</v>
      </c>
      <c r="F10" s="6" t="s">
        <v>94</v>
      </c>
      <c r="G10" s="6" t="s">
        <v>83</v>
      </c>
      <c r="H10" s="24" t="s">
        <v>96</v>
      </c>
      <c r="I10" s="15"/>
      <c r="J10" s="15"/>
      <c r="K10" s="6"/>
      <c r="L10" s="6"/>
      <c r="M10" s="6"/>
      <c r="N10" s="31"/>
    </row>
    <row r="11" spans="1:14" ht="55.5" customHeight="1">
      <c r="A11" s="119"/>
      <c r="B11" s="56" t="s">
        <v>92</v>
      </c>
      <c r="C11" s="84" t="s">
        <v>4</v>
      </c>
      <c r="D11" s="84" t="s">
        <v>4</v>
      </c>
      <c r="E11" s="93" t="s">
        <v>93</v>
      </c>
      <c r="F11" s="80" t="s">
        <v>94</v>
      </c>
      <c r="G11" s="6" t="s">
        <v>83</v>
      </c>
      <c r="H11" s="6"/>
      <c r="I11" s="28"/>
      <c r="J11" s="28"/>
      <c r="K11" s="24"/>
      <c r="L11" s="24" t="s">
        <v>18</v>
      </c>
      <c r="M11" s="6"/>
      <c r="N11" s="25"/>
    </row>
    <row r="12" spans="1:14" ht="31.5" customHeight="1">
      <c r="A12" s="139"/>
      <c r="B12" s="102" t="s">
        <v>4</v>
      </c>
      <c r="C12" s="102" t="s">
        <v>4</v>
      </c>
      <c r="D12" s="102" t="s">
        <v>4</v>
      </c>
      <c r="E12" s="94" t="s">
        <v>97</v>
      </c>
      <c r="F12" s="81" t="s">
        <v>94</v>
      </c>
      <c r="G12" s="13" t="s">
        <v>13</v>
      </c>
      <c r="H12" s="13"/>
      <c r="I12" s="13" t="s">
        <v>98</v>
      </c>
      <c r="J12" s="13" t="s">
        <v>98</v>
      </c>
      <c r="K12" s="13"/>
      <c r="L12" s="35" t="s">
        <v>18</v>
      </c>
      <c r="M12" s="13"/>
      <c r="N12" s="34" t="s">
        <v>98</v>
      </c>
    </row>
    <row r="13" spans="1:14" ht="40.5" customHeight="1">
      <c r="A13" s="129" t="s">
        <v>99</v>
      </c>
      <c r="B13" s="55" t="s">
        <v>4</v>
      </c>
      <c r="C13" s="55" t="s">
        <v>4</v>
      </c>
      <c r="D13" s="55" t="s">
        <v>100</v>
      </c>
      <c r="E13" s="24" t="s">
        <v>101</v>
      </c>
      <c r="F13" s="12" t="s">
        <v>102</v>
      </c>
      <c r="G13" s="27" t="s">
        <v>102</v>
      </c>
      <c r="H13" s="12"/>
      <c r="I13" s="22"/>
      <c r="J13" s="12"/>
      <c r="K13" s="27" t="s">
        <v>10</v>
      </c>
      <c r="L13" s="12"/>
      <c r="M13" s="27"/>
      <c r="N13" s="30"/>
    </row>
    <row r="14" spans="1:14" ht="40.5" customHeight="1">
      <c r="A14" s="127"/>
      <c r="B14" s="56" t="s">
        <v>4</v>
      </c>
      <c r="C14" s="56" t="s">
        <v>4</v>
      </c>
      <c r="D14" s="56" t="s">
        <v>103</v>
      </c>
      <c r="E14" s="24" t="s">
        <v>101</v>
      </c>
      <c r="F14" s="6" t="s">
        <v>104</v>
      </c>
      <c r="G14" s="24" t="s">
        <v>102</v>
      </c>
      <c r="H14" s="6"/>
      <c r="I14" s="6"/>
      <c r="J14" s="6"/>
      <c r="K14" s="24"/>
      <c r="L14" s="14"/>
      <c r="M14" s="6"/>
      <c r="N14" s="31"/>
    </row>
    <row r="15" spans="1:14" ht="40.5" customHeight="1">
      <c r="A15" s="127"/>
      <c r="B15" s="56" t="s">
        <v>4</v>
      </c>
      <c r="C15" s="56" t="s">
        <v>4</v>
      </c>
      <c r="D15" s="112" t="s">
        <v>105</v>
      </c>
      <c r="E15" s="24" t="s">
        <v>101</v>
      </c>
      <c r="F15" s="24" t="s">
        <v>102</v>
      </c>
      <c r="G15" s="6" t="s">
        <v>102</v>
      </c>
      <c r="H15" s="24"/>
      <c r="I15" s="15"/>
      <c r="J15" s="15"/>
      <c r="K15" s="6"/>
      <c r="L15" s="6"/>
      <c r="M15" s="6"/>
      <c r="N15" s="31"/>
    </row>
    <row r="16" spans="1:14" ht="40.5" customHeight="1">
      <c r="A16" s="127"/>
      <c r="B16" s="56" t="s">
        <v>4</v>
      </c>
      <c r="C16" s="58" t="s">
        <v>82</v>
      </c>
      <c r="D16" s="98" t="s">
        <v>106</v>
      </c>
      <c r="E16" s="24" t="s">
        <v>101</v>
      </c>
      <c r="F16" s="24" t="s">
        <v>102</v>
      </c>
      <c r="G16" s="6" t="s">
        <v>102</v>
      </c>
      <c r="H16" s="6"/>
      <c r="I16" s="28"/>
      <c r="J16" s="28"/>
      <c r="K16" s="24"/>
      <c r="L16" s="24" t="s">
        <v>18</v>
      </c>
      <c r="M16" s="6"/>
      <c r="N16" s="25"/>
    </row>
    <row r="17" spans="1:14" ht="40.5" customHeight="1">
      <c r="A17" s="140"/>
      <c r="B17" s="102" t="s">
        <v>4</v>
      </c>
      <c r="C17" s="59" t="s">
        <v>82</v>
      </c>
      <c r="D17" s="32" t="s">
        <v>101</v>
      </c>
      <c r="E17" s="32" t="s">
        <v>102</v>
      </c>
      <c r="F17" s="32" t="s">
        <v>102</v>
      </c>
      <c r="G17" s="13" t="s">
        <v>102</v>
      </c>
      <c r="H17" s="13"/>
      <c r="I17" s="13"/>
      <c r="J17" s="13"/>
      <c r="K17" s="13"/>
      <c r="L17" s="35" t="s">
        <v>18</v>
      </c>
      <c r="M17" s="13"/>
      <c r="N17" s="29"/>
    </row>
    <row r="18" spans="1:14" ht="25.5">
      <c r="A18" s="141" t="s">
        <v>107</v>
      </c>
      <c r="B18" s="12" t="s">
        <v>108</v>
      </c>
      <c r="C18" s="55" t="s">
        <v>13</v>
      </c>
      <c r="D18" s="55" t="s">
        <v>4</v>
      </c>
      <c r="E18" s="27" t="s">
        <v>108</v>
      </c>
      <c r="F18" s="60" t="s">
        <v>109</v>
      </c>
      <c r="G18" s="27"/>
      <c r="H18" s="12"/>
      <c r="I18" s="22"/>
      <c r="J18" s="12" t="s">
        <v>30</v>
      </c>
      <c r="K18" s="27"/>
      <c r="L18" s="12"/>
      <c r="M18" s="27"/>
      <c r="N18" s="30"/>
    </row>
    <row r="19" spans="1:14" ht="25.5">
      <c r="A19" s="130"/>
      <c r="B19" s="6" t="s">
        <v>108</v>
      </c>
      <c r="C19" s="56" t="s">
        <v>95</v>
      </c>
      <c r="D19" s="56" t="s">
        <v>4</v>
      </c>
      <c r="E19" s="113" t="s">
        <v>108</v>
      </c>
      <c r="F19" s="57" t="s">
        <v>109</v>
      </c>
      <c r="G19" s="24"/>
      <c r="H19" s="6"/>
      <c r="I19" s="6"/>
      <c r="J19" s="6"/>
      <c r="K19" s="24"/>
      <c r="L19" s="14"/>
      <c r="M19" s="6"/>
      <c r="N19" s="31"/>
    </row>
    <row r="20" spans="1:14" ht="41.25" customHeight="1">
      <c r="A20" s="130"/>
      <c r="B20" s="56" t="s">
        <v>13</v>
      </c>
      <c r="C20" s="56" t="s">
        <v>110</v>
      </c>
      <c r="D20" s="56" t="s">
        <v>4</v>
      </c>
      <c r="E20" s="113" t="s">
        <v>108</v>
      </c>
      <c r="F20" s="57" t="s">
        <v>109</v>
      </c>
      <c r="G20" s="6"/>
      <c r="H20" s="24"/>
      <c r="I20" s="15"/>
      <c r="J20" s="15"/>
      <c r="K20" s="6"/>
      <c r="L20" s="24" t="s">
        <v>18</v>
      </c>
      <c r="M20" s="6"/>
      <c r="N20" s="31"/>
    </row>
    <row r="21" spans="1:14" ht="25.5">
      <c r="A21" s="130"/>
      <c r="B21" s="56" t="s">
        <v>111</v>
      </c>
      <c r="C21" s="6" t="s">
        <v>108</v>
      </c>
      <c r="D21" s="6" t="s">
        <v>27</v>
      </c>
      <c r="E21" s="24"/>
      <c r="F21" s="82" t="s">
        <v>109</v>
      </c>
      <c r="G21" s="6"/>
      <c r="H21" s="6"/>
      <c r="I21" s="28"/>
      <c r="J21" s="28"/>
      <c r="K21" s="24"/>
      <c r="L21" s="24" t="s">
        <v>18</v>
      </c>
      <c r="M21" s="6"/>
      <c r="N21" s="25"/>
    </row>
    <row r="22" spans="1:14" ht="15">
      <c r="A22" s="131"/>
      <c r="B22" s="13" t="s">
        <v>27</v>
      </c>
      <c r="C22" s="35" t="s">
        <v>27</v>
      </c>
      <c r="D22" s="102" t="s">
        <v>4</v>
      </c>
      <c r="E22" s="36" t="s">
        <v>27</v>
      </c>
      <c r="F22" s="35" t="s">
        <v>27</v>
      </c>
      <c r="G22" s="35" t="s">
        <v>27</v>
      </c>
      <c r="H22" s="35" t="s">
        <v>27</v>
      </c>
      <c r="I22" s="35" t="s">
        <v>27</v>
      </c>
      <c r="J22" s="35" t="s">
        <v>27</v>
      </c>
      <c r="K22" s="35" t="s">
        <v>27</v>
      </c>
      <c r="L22" s="35" t="s">
        <v>27</v>
      </c>
      <c r="M22" s="35" t="s">
        <v>27</v>
      </c>
      <c r="N22" s="34" t="s">
        <v>27</v>
      </c>
    </row>
    <row r="23" spans="1:14" ht="38.25" customHeight="1">
      <c r="A23" s="124" t="s">
        <v>112</v>
      </c>
      <c r="B23" s="12" t="s">
        <v>4</v>
      </c>
      <c r="C23" s="22" t="s">
        <v>27</v>
      </c>
      <c r="D23" s="55" t="s">
        <v>113</v>
      </c>
      <c r="E23" s="27" t="s">
        <v>114</v>
      </c>
      <c r="F23" s="12" t="s">
        <v>13</v>
      </c>
      <c r="G23" s="27"/>
      <c r="H23" s="12"/>
      <c r="I23" s="22"/>
      <c r="J23" s="12"/>
      <c r="K23" s="27" t="s">
        <v>10</v>
      </c>
      <c r="L23" s="12"/>
      <c r="M23" s="27"/>
      <c r="N23" s="30"/>
    </row>
    <row r="24" spans="1:14" ht="38.25" customHeight="1">
      <c r="A24" s="119"/>
      <c r="B24" s="6" t="s">
        <v>4</v>
      </c>
      <c r="C24" s="42" t="s">
        <v>27</v>
      </c>
      <c r="D24" s="56" t="s">
        <v>113</v>
      </c>
      <c r="E24" s="24" t="s">
        <v>114</v>
      </c>
      <c r="F24" s="6" t="s">
        <v>95</v>
      </c>
      <c r="G24" s="24"/>
      <c r="H24" s="6"/>
      <c r="I24" s="6"/>
      <c r="J24" s="6"/>
      <c r="K24" s="24"/>
      <c r="L24" s="14"/>
      <c r="M24" s="6"/>
      <c r="N24" s="31"/>
    </row>
    <row r="25" spans="1:14" ht="38.25" customHeight="1">
      <c r="A25" s="119"/>
      <c r="B25" s="57" t="s">
        <v>115</v>
      </c>
      <c r="C25" s="42" t="s">
        <v>27</v>
      </c>
      <c r="D25" s="56" t="s">
        <v>113</v>
      </c>
      <c r="E25" s="24" t="s">
        <v>114</v>
      </c>
      <c r="F25" s="6" t="s">
        <v>115</v>
      </c>
      <c r="G25" s="6"/>
      <c r="H25" s="24"/>
      <c r="I25" s="15"/>
      <c r="J25" s="15"/>
      <c r="K25" s="6"/>
      <c r="L25" s="6"/>
      <c r="M25" s="6"/>
      <c r="N25" s="31"/>
    </row>
    <row r="26" spans="1:14" ht="38.25" customHeight="1">
      <c r="A26" s="119"/>
      <c r="B26" s="6" t="s">
        <v>4</v>
      </c>
      <c r="C26" s="42" t="s">
        <v>27</v>
      </c>
      <c r="D26" s="56" t="s">
        <v>113</v>
      </c>
      <c r="E26" s="24" t="s">
        <v>114</v>
      </c>
      <c r="F26" s="15" t="s">
        <v>115</v>
      </c>
      <c r="G26" s="6"/>
      <c r="H26" s="6"/>
      <c r="I26" s="28"/>
      <c r="J26" s="28"/>
      <c r="K26" s="24"/>
      <c r="L26" s="24" t="s">
        <v>18</v>
      </c>
      <c r="M26" s="6"/>
      <c r="N26" s="25"/>
    </row>
    <row r="27" spans="1:14" ht="38.25" customHeight="1">
      <c r="A27" s="125"/>
      <c r="B27" s="13" t="s">
        <v>4</v>
      </c>
      <c r="C27" s="23" t="s">
        <v>27</v>
      </c>
      <c r="D27" s="76" t="s">
        <v>116</v>
      </c>
      <c r="E27" s="32" t="s">
        <v>13</v>
      </c>
      <c r="F27" s="78" t="s">
        <v>115</v>
      </c>
      <c r="G27" s="13"/>
      <c r="H27" s="13"/>
      <c r="I27" s="13"/>
      <c r="J27" s="13"/>
      <c r="K27" s="13"/>
      <c r="L27" s="35" t="s">
        <v>18</v>
      </c>
      <c r="M27" s="13"/>
      <c r="N27" s="29"/>
    </row>
    <row r="28" spans="1:14" ht="38.25">
      <c r="A28" s="132" t="s">
        <v>117</v>
      </c>
      <c r="B28" s="55" t="s">
        <v>4</v>
      </c>
      <c r="C28" s="55" t="s">
        <v>4</v>
      </c>
      <c r="D28" s="55" t="s">
        <v>110</v>
      </c>
      <c r="E28" s="55" t="s">
        <v>110</v>
      </c>
      <c r="F28" s="12" t="s">
        <v>118</v>
      </c>
      <c r="G28" s="27"/>
      <c r="H28" s="12"/>
      <c r="I28" s="22"/>
      <c r="J28" s="12" t="s">
        <v>30</v>
      </c>
      <c r="K28" s="27"/>
      <c r="L28" s="12"/>
      <c r="M28" s="27"/>
      <c r="N28" s="30"/>
    </row>
    <row r="29" spans="1:14" ht="25.5">
      <c r="A29" s="133"/>
      <c r="B29" s="56" t="s">
        <v>4</v>
      </c>
      <c r="C29" s="56" t="s">
        <v>4</v>
      </c>
      <c r="D29" s="56" t="s">
        <v>110</v>
      </c>
      <c r="E29" s="24" t="s">
        <v>118</v>
      </c>
      <c r="F29" s="6"/>
      <c r="G29" s="24"/>
      <c r="H29" s="6"/>
      <c r="I29" s="6"/>
      <c r="J29" s="6"/>
      <c r="K29" s="24"/>
      <c r="L29" s="14"/>
      <c r="M29" s="6"/>
      <c r="N29" s="31"/>
    </row>
    <row r="30" spans="1:14" ht="25.5">
      <c r="A30" s="133"/>
      <c r="B30" s="56" t="s">
        <v>4</v>
      </c>
      <c r="C30" s="56" t="s">
        <v>4</v>
      </c>
      <c r="D30" s="98" t="s">
        <v>110</v>
      </c>
      <c r="E30" s="24" t="s">
        <v>118</v>
      </c>
      <c r="F30" s="6"/>
      <c r="G30" s="6"/>
      <c r="H30" s="24"/>
      <c r="I30" s="15"/>
      <c r="J30" s="15"/>
      <c r="K30" s="6"/>
      <c r="L30" s="6"/>
      <c r="M30" s="6"/>
      <c r="N30" s="31"/>
    </row>
    <row r="31" spans="1:14" ht="25.5">
      <c r="A31" s="133"/>
      <c r="B31" s="56" t="s">
        <v>4</v>
      </c>
      <c r="C31" s="84" t="s">
        <v>4</v>
      </c>
      <c r="D31" s="98" t="s">
        <v>110</v>
      </c>
      <c r="E31" s="24" t="s">
        <v>118</v>
      </c>
      <c r="F31" s="20"/>
      <c r="G31" s="6"/>
      <c r="H31" s="6"/>
      <c r="I31" s="28"/>
      <c r="J31" s="28"/>
      <c r="K31" s="24"/>
      <c r="L31" s="24" t="s">
        <v>18</v>
      </c>
      <c r="M31" s="6"/>
      <c r="N31" s="25"/>
    </row>
    <row r="32" spans="1:14" ht="25.5">
      <c r="A32" s="134"/>
      <c r="B32" s="102" t="s">
        <v>4</v>
      </c>
      <c r="C32" s="102" t="s">
        <v>4</v>
      </c>
      <c r="D32" s="105" t="s">
        <v>110</v>
      </c>
      <c r="E32" s="32" t="s">
        <v>118</v>
      </c>
      <c r="F32" s="21"/>
      <c r="G32" s="13"/>
      <c r="H32" s="13"/>
      <c r="I32" s="13"/>
      <c r="J32" s="13"/>
      <c r="K32" s="13"/>
      <c r="L32" s="35" t="s">
        <v>18</v>
      </c>
      <c r="M32" s="13"/>
      <c r="N32" s="29"/>
    </row>
    <row r="33" ht="15"/>
    <row r="34" ht="15"/>
    <row r="35" ht="15"/>
    <row r="36" ht="15"/>
    <row r="37" ht="15"/>
    <row r="38" ht="15"/>
  </sheetData>
  <autoFilter ref="A2:A23" xr:uid="{1B3B6AB7-C965-42AE-8D3E-38BCD8C2554C}"/>
  <mergeCells count="6">
    <mergeCell ref="A28:A32"/>
    <mergeCell ref="A3:A7"/>
    <mergeCell ref="A8:A12"/>
    <mergeCell ref="A13:A17"/>
    <mergeCell ref="A18:A22"/>
    <mergeCell ref="A23:A2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CD39-53EC-4416-9ECC-6988C9C20D4F}">
  <dimension ref="A1:T32"/>
  <sheetViews>
    <sheetView showGridLines="0" zoomScaleNormal="100" workbookViewId="0">
      <pane xSplit="1" ySplit="2" topLeftCell="C27" activePane="bottomRight" state="frozen"/>
      <selection pane="bottomRight" activeCell="G29" sqref="G29"/>
      <selection pane="bottomLeft" activeCell="AG3" sqref="AG3"/>
      <selection pane="topRight" activeCell="AG3" sqref="AG3"/>
    </sheetView>
  </sheetViews>
  <sheetFormatPr defaultColWidth="18.375" defaultRowHeight="15"/>
  <cols>
    <col min="1" max="1" width="7.375" style="2" bestFit="1" customWidth="1"/>
    <col min="2" max="2" width="24.125" style="3" customWidth="1"/>
    <col min="3" max="3" width="21" style="3" customWidth="1"/>
    <col min="4" max="4" width="27.375" style="3" customWidth="1"/>
    <col min="5" max="5" width="26.125" style="3" customWidth="1"/>
    <col min="6" max="6" width="27.375" style="3" customWidth="1"/>
    <col min="7" max="7" width="27.5" style="3" customWidth="1"/>
    <col min="8" max="8" width="23.75" style="3" customWidth="1"/>
    <col min="9" max="9" width="19.25" style="3" customWidth="1"/>
    <col min="10" max="10" width="21.375" style="3" customWidth="1"/>
    <col min="11" max="11" width="25.5" style="3" customWidth="1"/>
    <col min="12" max="12" width="28.125" style="3" customWidth="1"/>
    <col min="13" max="13" width="26.375" style="3" customWidth="1"/>
    <col min="14" max="14" width="29" style="3" customWidth="1"/>
    <col min="15" max="16384" width="18.375" style="3"/>
  </cols>
  <sheetData>
    <row r="1" spans="1:20" s="1" customFormat="1" thickBot="1">
      <c r="A1" s="4" t="s">
        <v>0</v>
      </c>
      <c r="B1" s="19">
        <v>46209</v>
      </c>
      <c r="C1" s="19">
        <f t="shared" ref="C1:N1" si="0">B1+7</f>
        <v>46216</v>
      </c>
      <c r="D1" s="19">
        <f t="shared" si="0"/>
        <v>46223</v>
      </c>
      <c r="E1" s="19">
        <f t="shared" si="0"/>
        <v>46230</v>
      </c>
      <c r="F1" s="19">
        <f t="shared" si="0"/>
        <v>46237</v>
      </c>
      <c r="G1" s="19">
        <f t="shared" si="0"/>
        <v>46244</v>
      </c>
      <c r="H1" s="19">
        <f t="shared" si="0"/>
        <v>46251</v>
      </c>
      <c r="I1" s="19">
        <f t="shared" si="0"/>
        <v>46258</v>
      </c>
      <c r="J1" s="19">
        <f t="shared" si="0"/>
        <v>46265</v>
      </c>
      <c r="K1" s="19">
        <f t="shared" si="0"/>
        <v>46272</v>
      </c>
      <c r="L1" s="19">
        <f t="shared" si="0"/>
        <v>46279</v>
      </c>
      <c r="M1" s="19">
        <f t="shared" si="0"/>
        <v>46286</v>
      </c>
      <c r="N1" s="19">
        <f t="shared" si="0"/>
        <v>46293</v>
      </c>
    </row>
    <row r="2" spans="1:20" s="2" customFormat="1" ht="15.75">
      <c r="A2" s="5" t="s">
        <v>1</v>
      </c>
      <c r="B2" s="17">
        <v>46213</v>
      </c>
      <c r="C2" s="17">
        <f t="shared" ref="C2:N2" si="1">C1+4</f>
        <v>46220</v>
      </c>
      <c r="D2" s="17">
        <f t="shared" si="1"/>
        <v>46227</v>
      </c>
      <c r="E2" s="17">
        <f t="shared" si="1"/>
        <v>46234</v>
      </c>
      <c r="F2" s="17">
        <f t="shared" si="1"/>
        <v>46241</v>
      </c>
      <c r="G2" s="17">
        <f t="shared" si="1"/>
        <v>46248</v>
      </c>
      <c r="H2" s="17">
        <f t="shared" si="1"/>
        <v>46255</v>
      </c>
      <c r="I2" s="17">
        <f t="shared" si="1"/>
        <v>46262</v>
      </c>
      <c r="J2" s="17">
        <f t="shared" si="1"/>
        <v>46269</v>
      </c>
      <c r="K2" s="17">
        <f t="shared" si="1"/>
        <v>46276</v>
      </c>
      <c r="L2" s="17">
        <f t="shared" si="1"/>
        <v>46283</v>
      </c>
      <c r="M2" s="17">
        <f t="shared" si="1"/>
        <v>46290</v>
      </c>
      <c r="N2" s="17">
        <f t="shared" si="1"/>
        <v>46297</v>
      </c>
    </row>
    <row r="3" spans="1:20">
      <c r="A3" s="126" t="s">
        <v>119</v>
      </c>
      <c r="B3" s="55" t="s">
        <v>120</v>
      </c>
      <c r="C3" s="12" t="s">
        <v>4</v>
      </c>
      <c r="D3" s="12" t="s">
        <v>4</v>
      </c>
      <c r="E3" s="12" t="s">
        <v>4</v>
      </c>
      <c r="F3" s="12"/>
      <c r="G3" s="27"/>
      <c r="H3" s="12"/>
      <c r="I3" s="22"/>
      <c r="J3" s="12"/>
      <c r="K3" s="27" t="s">
        <v>10</v>
      </c>
      <c r="L3" s="12"/>
      <c r="M3" s="27"/>
      <c r="N3" s="30"/>
      <c r="T3" s="3" t="s">
        <v>121</v>
      </c>
    </row>
    <row r="4" spans="1:20">
      <c r="A4" s="127"/>
      <c r="B4" s="111" t="s">
        <v>120</v>
      </c>
      <c r="C4" s="6" t="s">
        <v>4</v>
      </c>
      <c r="D4" s="6" t="s">
        <v>4</v>
      </c>
      <c r="E4" s="57" t="s">
        <v>4</v>
      </c>
      <c r="F4" s="6"/>
      <c r="G4" s="24"/>
      <c r="H4" s="6"/>
      <c r="I4" s="6"/>
      <c r="J4" s="6"/>
      <c r="K4" s="24"/>
      <c r="L4" s="14"/>
      <c r="M4" s="6"/>
      <c r="N4" s="31"/>
    </row>
    <row r="5" spans="1:20">
      <c r="A5" s="127"/>
      <c r="B5" s="6" t="s">
        <v>122</v>
      </c>
      <c r="C5" s="6" t="s">
        <v>4</v>
      </c>
      <c r="D5" s="6" t="s">
        <v>4</v>
      </c>
      <c r="E5" s="53" t="s">
        <v>25</v>
      </c>
      <c r="F5" s="6"/>
      <c r="G5" s="6"/>
      <c r="H5" s="24"/>
      <c r="I5" s="15"/>
      <c r="J5" s="15"/>
      <c r="K5" s="6"/>
      <c r="L5" s="6"/>
      <c r="M5" s="6"/>
      <c r="N5" s="31"/>
    </row>
    <row r="6" spans="1:20" ht="25.5">
      <c r="A6" s="127"/>
      <c r="B6" s="6" t="s">
        <v>4</v>
      </c>
      <c r="C6" s="6" t="s">
        <v>123</v>
      </c>
      <c r="D6" s="6" t="s">
        <v>4</v>
      </c>
      <c r="E6" s="24" t="s">
        <v>124</v>
      </c>
      <c r="F6" s="20"/>
      <c r="G6" s="6"/>
      <c r="H6" s="6"/>
      <c r="I6" s="28"/>
      <c r="J6" s="28"/>
      <c r="K6" s="24"/>
      <c r="L6" s="24" t="s">
        <v>18</v>
      </c>
      <c r="M6" s="6"/>
      <c r="N6" s="25"/>
    </row>
    <row r="7" spans="1:20" ht="38.25">
      <c r="A7" s="140"/>
      <c r="B7" s="13" t="s">
        <v>123</v>
      </c>
      <c r="C7" s="13" t="s">
        <v>123</v>
      </c>
      <c r="D7" s="47" t="s">
        <v>27</v>
      </c>
      <c r="E7" s="32" t="s">
        <v>125</v>
      </c>
      <c r="F7" s="21"/>
      <c r="G7" s="13"/>
      <c r="H7" s="13"/>
      <c r="I7" s="13"/>
      <c r="J7" s="13"/>
      <c r="K7" s="13"/>
      <c r="L7" s="35" t="s">
        <v>18</v>
      </c>
      <c r="M7" s="13"/>
      <c r="N7" s="29"/>
    </row>
    <row r="8" spans="1:20" ht="38.25">
      <c r="A8" s="126" t="s">
        <v>126</v>
      </c>
      <c r="B8" s="12" t="s">
        <v>4</v>
      </c>
      <c r="C8" s="55" t="s">
        <v>127</v>
      </c>
      <c r="D8" s="55" t="s">
        <v>128</v>
      </c>
      <c r="E8" s="27" t="s">
        <v>129</v>
      </c>
      <c r="F8" s="27" t="s">
        <v>4</v>
      </c>
      <c r="G8" s="27"/>
      <c r="H8" s="12"/>
      <c r="I8" s="22"/>
      <c r="J8" s="12"/>
      <c r="K8" s="27" t="s">
        <v>10</v>
      </c>
      <c r="L8" s="12"/>
      <c r="M8" s="27"/>
      <c r="N8" s="30"/>
    </row>
    <row r="9" spans="1:20" ht="25.5">
      <c r="A9" s="127"/>
      <c r="B9" s="6" t="s">
        <v>4</v>
      </c>
      <c r="C9" s="56" t="s">
        <v>127</v>
      </c>
      <c r="D9" s="56" t="s">
        <v>130</v>
      </c>
      <c r="E9" s="24" t="s">
        <v>87</v>
      </c>
      <c r="F9" s="24" t="s">
        <v>4</v>
      </c>
      <c r="G9" s="24" t="s">
        <v>131</v>
      </c>
      <c r="H9" s="6"/>
      <c r="I9" s="6"/>
      <c r="J9" s="6"/>
      <c r="K9" s="24"/>
      <c r="L9" s="14"/>
      <c r="M9" s="6"/>
      <c r="N9" s="31"/>
    </row>
    <row r="10" spans="1:20" ht="25.5">
      <c r="A10" s="127"/>
      <c r="B10" s="6" t="s">
        <v>4</v>
      </c>
      <c r="C10" s="56" t="s">
        <v>127</v>
      </c>
      <c r="D10" s="56" t="s">
        <v>113</v>
      </c>
      <c r="E10" s="24" t="s">
        <v>87</v>
      </c>
      <c r="F10" s="24" t="s">
        <v>4</v>
      </c>
      <c r="G10" s="6"/>
      <c r="H10" s="24"/>
      <c r="I10" s="15"/>
      <c r="J10" s="15"/>
      <c r="K10" s="6"/>
      <c r="L10" s="6"/>
      <c r="M10" s="6"/>
      <c r="N10" s="31"/>
    </row>
    <row r="11" spans="1:20" ht="25.5">
      <c r="A11" s="127"/>
      <c r="B11" s="6" t="s">
        <v>4</v>
      </c>
      <c r="C11" s="84" t="s">
        <v>113</v>
      </c>
      <c r="D11" s="56" t="s">
        <v>113</v>
      </c>
      <c r="E11" s="24" t="s">
        <v>87</v>
      </c>
      <c r="F11" s="24" t="s">
        <v>132</v>
      </c>
      <c r="G11" s="6"/>
      <c r="H11" s="6" t="s">
        <v>133</v>
      </c>
      <c r="I11" s="28"/>
      <c r="J11" s="28"/>
      <c r="K11" s="24"/>
      <c r="L11" s="24" t="s">
        <v>18</v>
      </c>
      <c r="M11" s="6"/>
      <c r="N11" s="25"/>
    </row>
    <row r="12" spans="1:20" ht="51">
      <c r="A12" s="140"/>
      <c r="B12" s="13" t="s">
        <v>134</v>
      </c>
      <c r="C12" s="102" t="s">
        <v>135</v>
      </c>
      <c r="D12" s="76" t="s">
        <v>25</v>
      </c>
      <c r="E12" s="13" t="s">
        <v>4</v>
      </c>
      <c r="F12" s="21"/>
      <c r="G12" s="13"/>
      <c r="H12" s="13"/>
      <c r="I12" s="13"/>
      <c r="J12" s="13"/>
      <c r="K12" s="13"/>
      <c r="L12" s="35" t="s">
        <v>18</v>
      </c>
      <c r="M12" s="13"/>
      <c r="N12" s="29"/>
    </row>
    <row r="13" spans="1:20" ht="38.25">
      <c r="A13" s="126" t="s">
        <v>136</v>
      </c>
      <c r="B13" s="12" t="s">
        <v>4</v>
      </c>
      <c r="C13" s="12" t="s">
        <v>4</v>
      </c>
      <c r="D13" s="12" t="s">
        <v>4</v>
      </c>
      <c r="E13" s="27" t="s">
        <v>4</v>
      </c>
      <c r="F13" s="12" t="s">
        <v>137</v>
      </c>
      <c r="G13" s="27"/>
      <c r="H13" s="12"/>
      <c r="I13" s="22"/>
      <c r="J13" s="12"/>
      <c r="K13" s="27" t="s">
        <v>10</v>
      </c>
      <c r="L13" s="12"/>
      <c r="M13" s="27"/>
      <c r="N13" s="30"/>
    </row>
    <row r="14" spans="1:20" ht="38.25">
      <c r="A14" s="127"/>
      <c r="B14" s="6" t="s">
        <v>4</v>
      </c>
      <c r="C14" s="56" t="s">
        <v>138</v>
      </c>
      <c r="D14" s="6" t="s">
        <v>4</v>
      </c>
      <c r="E14" s="57" t="s">
        <v>4</v>
      </c>
      <c r="F14" s="6" t="s">
        <v>137</v>
      </c>
      <c r="G14" s="24" t="s">
        <v>13</v>
      </c>
      <c r="H14" s="6"/>
      <c r="I14" s="6"/>
      <c r="J14" s="6"/>
      <c r="K14" s="24"/>
      <c r="L14" s="14"/>
      <c r="M14" s="6"/>
      <c r="N14" s="31"/>
    </row>
    <row r="15" spans="1:20" ht="38.25">
      <c r="A15" s="127"/>
      <c r="B15" s="56" t="s">
        <v>123</v>
      </c>
      <c r="C15" s="56" t="s">
        <v>139</v>
      </c>
      <c r="D15" s="6" t="s">
        <v>4</v>
      </c>
      <c r="E15" s="6" t="s">
        <v>137</v>
      </c>
      <c r="F15" s="6" t="s">
        <v>137</v>
      </c>
      <c r="G15" s="6" t="s">
        <v>13</v>
      </c>
      <c r="H15" s="24"/>
      <c r="I15" s="15"/>
      <c r="J15" s="15"/>
      <c r="K15" s="6"/>
      <c r="L15" s="6"/>
      <c r="M15" s="6"/>
      <c r="N15" s="31"/>
    </row>
    <row r="16" spans="1:20" ht="38.25">
      <c r="A16" s="127"/>
      <c r="B16" s="6" t="s">
        <v>4</v>
      </c>
      <c r="C16" s="98" t="s">
        <v>140</v>
      </c>
      <c r="D16" s="6" t="s">
        <v>4</v>
      </c>
      <c r="E16" s="6" t="s">
        <v>137</v>
      </c>
      <c r="F16" s="20"/>
      <c r="G16" s="6" t="s">
        <v>95</v>
      </c>
      <c r="H16" s="6"/>
      <c r="I16" s="28"/>
      <c r="J16" s="28"/>
      <c r="K16" s="24"/>
      <c r="L16" s="24" t="s">
        <v>18</v>
      </c>
      <c r="M16" s="6"/>
      <c r="N16" s="25"/>
    </row>
    <row r="17" spans="1:14" ht="38.25">
      <c r="A17" s="128"/>
      <c r="B17" s="13" t="s">
        <v>4</v>
      </c>
      <c r="C17" s="105" t="s">
        <v>140</v>
      </c>
      <c r="D17" s="13" t="s">
        <v>4</v>
      </c>
      <c r="E17" s="32" t="s">
        <v>137</v>
      </c>
      <c r="F17" s="21"/>
      <c r="G17" s="13"/>
      <c r="H17" s="13"/>
      <c r="I17" s="13"/>
      <c r="J17" s="13"/>
      <c r="K17" s="13"/>
      <c r="L17" s="35" t="s">
        <v>18</v>
      </c>
      <c r="M17" s="13"/>
      <c r="N17" s="29"/>
    </row>
    <row r="18" spans="1:14" ht="28.5" customHeight="1">
      <c r="A18" s="129" t="s">
        <v>141</v>
      </c>
      <c r="B18" s="12" t="s">
        <v>4</v>
      </c>
      <c r="C18" s="12" t="s">
        <v>4</v>
      </c>
      <c r="D18" s="97" t="s">
        <v>58</v>
      </c>
      <c r="E18" s="12" t="s">
        <v>4</v>
      </c>
      <c r="F18" s="12"/>
      <c r="G18" s="27"/>
      <c r="H18" s="12"/>
      <c r="I18" s="22"/>
      <c r="J18" s="12"/>
      <c r="K18" s="27"/>
      <c r="L18" s="12" t="s">
        <v>142</v>
      </c>
      <c r="M18" s="27"/>
      <c r="N18" s="30"/>
    </row>
    <row r="19" spans="1:14" ht="30" customHeight="1">
      <c r="A19" s="127"/>
      <c r="B19" s="6" t="s">
        <v>4</v>
      </c>
      <c r="C19" s="6" t="s">
        <v>4</v>
      </c>
      <c r="D19" s="98" t="s">
        <v>58</v>
      </c>
      <c r="E19" s="77" t="s">
        <v>143</v>
      </c>
      <c r="F19" s="6"/>
      <c r="G19" s="24"/>
      <c r="H19" s="6"/>
      <c r="I19" s="6"/>
      <c r="J19" s="6"/>
      <c r="K19" s="24"/>
      <c r="L19" s="14"/>
      <c r="M19" s="6"/>
      <c r="N19" s="31"/>
    </row>
    <row r="20" spans="1:14">
      <c r="A20" s="127"/>
      <c r="B20" s="6" t="s">
        <v>4</v>
      </c>
      <c r="C20" s="6" t="s">
        <v>4</v>
      </c>
      <c r="D20" s="6" t="s">
        <v>4</v>
      </c>
      <c r="E20" s="6" t="s">
        <v>4</v>
      </c>
      <c r="F20" s="6"/>
      <c r="G20" s="6"/>
      <c r="H20" s="24"/>
      <c r="I20" s="15"/>
      <c r="J20" s="15"/>
      <c r="K20" s="6"/>
      <c r="L20" s="6"/>
      <c r="M20" s="6"/>
      <c r="N20" s="31"/>
    </row>
    <row r="21" spans="1:14">
      <c r="A21" s="127"/>
      <c r="B21" s="6" t="s">
        <v>4</v>
      </c>
      <c r="C21" s="8" t="s">
        <v>4</v>
      </c>
      <c r="D21" s="6" t="s">
        <v>4</v>
      </c>
      <c r="E21" s="6" t="s">
        <v>4</v>
      </c>
      <c r="F21" s="20"/>
      <c r="G21" s="6"/>
      <c r="H21" s="6"/>
      <c r="I21" s="28"/>
      <c r="J21" s="28"/>
      <c r="K21" s="24"/>
      <c r="L21" s="24" t="s">
        <v>18</v>
      </c>
      <c r="M21" s="6"/>
      <c r="N21" s="25"/>
    </row>
    <row r="22" spans="1:14" ht="38.25">
      <c r="A22" s="140"/>
      <c r="B22" s="13" t="s">
        <v>4</v>
      </c>
      <c r="C22" s="96" t="s">
        <v>144</v>
      </c>
      <c r="D22" s="52" t="s">
        <v>145</v>
      </c>
      <c r="E22" s="32"/>
      <c r="F22" s="21"/>
      <c r="G22" s="13"/>
      <c r="H22" s="13"/>
      <c r="I22" s="13"/>
      <c r="J22" s="13"/>
      <c r="K22" s="13"/>
      <c r="L22" s="35" t="s">
        <v>18</v>
      </c>
      <c r="M22" s="13"/>
      <c r="N22" s="34" t="s">
        <v>142</v>
      </c>
    </row>
    <row r="23" spans="1:14" ht="36" customHeight="1">
      <c r="A23" s="141" t="s">
        <v>146</v>
      </c>
      <c r="B23" s="12" t="s">
        <v>27</v>
      </c>
      <c r="C23" s="12" t="s">
        <v>4</v>
      </c>
      <c r="D23" s="103" t="s">
        <v>147</v>
      </c>
      <c r="E23" s="27" t="s">
        <v>4</v>
      </c>
      <c r="F23" s="27" t="s">
        <v>4</v>
      </c>
      <c r="G23" s="90" t="s">
        <v>148</v>
      </c>
      <c r="H23" s="12" t="s">
        <v>149</v>
      </c>
      <c r="I23" s="12" t="s">
        <v>150</v>
      </c>
      <c r="J23" s="12" t="s">
        <v>150</v>
      </c>
      <c r="K23" s="27" t="s">
        <v>150</v>
      </c>
      <c r="L23" s="12" t="s">
        <v>65</v>
      </c>
      <c r="M23" s="27" t="s">
        <v>150</v>
      </c>
      <c r="N23" s="30" t="s">
        <v>150</v>
      </c>
    </row>
    <row r="24" spans="1:14" ht="25.5">
      <c r="A24" s="130"/>
      <c r="B24" s="6" t="s">
        <v>27</v>
      </c>
      <c r="C24" s="6" t="s">
        <v>4</v>
      </c>
      <c r="D24" s="56" t="s">
        <v>79</v>
      </c>
      <c r="E24" s="24" t="s">
        <v>151</v>
      </c>
      <c r="F24" s="6" t="s">
        <v>4</v>
      </c>
      <c r="G24" s="54" t="s">
        <v>25</v>
      </c>
      <c r="H24" s="6" t="s">
        <v>149</v>
      </c>
      <c r="I24" s="6" t="s">
        <v>150</v>
      </c>
      <c r="J24" s="6" t="s">
        <v>150</v>
      </c>
      <c r="K24" s="24" t="s">
        <v>150</v>
      </c>
      <c r="L24" s="14" t="s">
        <v>150</v>
      </c>
      <c r="M24" s="6" t="s">
        <v>150</v>
      </c>
      <c r="N24" s="31" t="s">
        <v>150</v>
      </c>
    </row>
    <row r="25" spans="1:14" ht="38.25">
      <c r="A25" s="130"/>
      <c r="B25" s="56" t="s">
        <v>152</v>
      </c>
      <c r="C25" s="6" t="s">
        <v>4</v>
      </c>
      <c r="D25" s="56" t="s">
        <v>79</v>
      </c>
      <c r="E25" s="24" t="s">
        <v>153</v>
      </c>
      <c r="F25" s="6" t="s">
        <v>4</v>
      </c>
      <c r="G25" s="53" t="s">
        <v>25</v>
      </c>
      <c r="H25" s="24" t="s">
        <v>149</v>
      </c>
      <c r="I25" s="24" t="s">
        <v>150</v>
      </c>
      <c r="J25" s="15" t="s">
        <v>150</v>
      </c>
      <c r="K25" s="6" t="s">
        <v>150</v>
      </c>
      <c r="L25" s="6" t="s">
        <v>150</v>
      </c>
      <c r="M25" s="6" t="s">
        <v>150</v>
      </c>
      <c r="N25" s="31" t="s">
        <v>150</v>
      </c>
    </row>
    <row r="26" spans="1:14" ht="51">
      <c r="A26" s="130"/>
      <c r="B26" s="6" t="s">
        <v>72</v>
      </c>
      <c r="C26" s="84" t="s">
        <v>13</v>
      </c>
      <c r="D26" s="56" t="s">
        <v>154</v>
      </c>
      <c r="E26" s="24" t="s">
        <v>4</v>
      </c>
      <c r="F26" s="24" t="s">
        <v>155</v>
      </c>
      <c r="G26" s="6" t="s">
        <v>156</v>
      </c>
      <c r="H26" s="6" t="s">
        <v>157</v>
      </c>
      <c r="I26" s="6" t="s">
        <v>158</v>
      </c>
      <c r="J26" s="28" t="s">
        <v>150</v>
      </c>
      <c r="K26" s="24" t="s">
        <v>150</v>
      </c>
      <c r="L26" s="24" t="s">
        <v>18</v>
      </c>
      <c r="M26" s="6" t="s">
        <v>150</v>
      </c>
      <c r="N26" s="25" t="s">
        <v>150</v>
      </c>
    </row>
    <row r="27" spans="1:14" ht="38.25">
      <c r="A27" s="130"/>
      <c r="B27" s="13" t="s">
        <v>4</v>
      </c>
      <c r="C27" s="96" t="s">
        <v>159</v>
      </c>
      <c r="D27" s="13" t="s">
        <v>4</v>
      </c>
      <c r="E27" s="32" t="s">
        <v>4</v>
      </c>
      <c r="F27" s="32" t="s">
        <v>4</v>
      </c>
      <c r="G27" s="13" t="s">
        <v>156</v>
      </c>
      <c r="H27" s="13" t="s">
        <v>160</v>
      </c>
      <c r="I27" s="13" t="s">
        <v>150</v>
      </c>
      <c r="J27" s="13" t="s">
        <v>150</v>
      </c>
      <c r="K27" s="13" t="s">
        <v>150</v>
      </c>
      <c r="L27" s="35" t="s">
        <v>18</v>
      </c>
      <c r="M27" s="13" t="s">
        <v>150</v>
      </c>
      <c r="N27" s="34" t="s">
        <v>65</v>
      </c>
    </row>
    <row r="28" spans="1:14" ht="76.5">
      <c r="A28" s="126" t="s">
        <v>161</v>
      </c>
      <c r="B28" s="55" t="s">
        <v>162</v>
      </c>
      <c r="C28" s="55" t="s">
        <v>4</v>
      </c>
      <c r="D28" s="55" t="s">
        <v>163</v>
      </c>
      <c r="E28" s="97" t="s">
        <v>162</v>
      </c>
      <c r="F28" s="12" t="s">
        <v>164</v>
      </c>
      <c r="G28" s="27" t="s">
        <v>156</v>
      </c>
      <c r="H28" s="12" t="s">
        <v>157</v>
      </c>
      <c r="I28" s="83" t="s">
        <v>165</v>
      </c>
      <c r="J28" s="12" t="s">
        <v>27</v>
      </c>
      <c r="K28" s="27" t="s">
        <v>166</v>
      </c>
      <c r="L28" s="12" t="s">
        <v>65</v>
      </c>
      <c r="M28" s="27" t="s">
        <v>167</v>
      </c>
      <c r="N28" s="30" t="s">
        <v>167</v>
      </c>
    </row>
    <row r="29" spans="1:14" ht="76.5">
      <c r="A29" s="127"/>
      <c r="B29" s="56" t="s">
        <v>168</v>
      </c>
      <c r="C29" s="56" t="s">
        <v>4</v>
      </c>
      <c r="D29" s="56" t="s">
        <v>169</v>
      </c>
      <c r="E29" s="98" t="s">
        <v>162</v>
      </c>
      <c r="F29" s="6" t="s">
        <v>164</v>
      </c>
      <c r="G29" s="24" t="s">
        <v>170</v>
      </c>
      <c r="H29" s="6" t="s">
        <v>170</v>
      </c>
      <c r="I29" s="6" t="s">
        <v>165</v>
      </c>
      <c r="J29" s="6" t="s">
        <v>27</v>
      </c>
      <c r="K29" s="24" t="s">
        <v>166</v>
      </c>
      <c r="L29" s="14" t="s">
        <v>167</v>
      </c>
      <c r="M29" s="6" t="s">
        <v>167</v>
      </c>
      <c r="N29" s="31" t="s">
        <v>167</v>
      </c>
    </row>
    <row r="30" spans="1:14" ht="89.25">
      <c r="A30" s="127"/>
      <c r="B30" s="56" t="s">
        <v>4</v>
      </c>
      <c r="C30" s="56" t="s">
        <v>4</v>
      </c>
      <c r="D30" s="56" t="s">
        <v>162</v>
      </c>
      <c r="E30" s="24" t="s">
        <v>171</v>
      </c>
      <c r="F30" s="6" t="s">
        <v>172</v>
      </c>
      <c r="G30" s="6" t="s">
        <v>170</v>
      </c>
      <c r="H30" s="24" t="s">
        <v>170</v>
      </c>
      <c r="I30" s="24" t="s">
        <v>173</v>
      </c>
      <c r="J30" s="15" t="s">
        <v>27</v>
      </c>
      <c r="K30" s="6" t="s">
        <v>166</v>
      </c>
      <c r="L30" s="14" t="s">
        <v>167</v>
      </c>
      <c r="M30" s="6" t="s">
        <v>167</v>
      </c>
      <c r="N30" s="31" t="s">
        <v>167</v>
      </c>
    </row>
    <row r="31" spans="1:14" ht="76.5">
      <c r="A31" s="127"/>
      <c r="B31" s="56" t="s">
        <v>4</v>
      </c>
      <c r="C31" s="84" t="s">
        <v>4</v>
      </c>
      <c r="D31" s="56" t="s">
        <v>162</v>
      </c>
      <c r="E31" s="24" t="s">
        <v>171</v>
      </c>
      <c r="F31" s="15" t="s">
        <v>174</v>
      </c>
      <c r="G31" s="6" t="s">
        <v>170</v>
      </c>
      <c r="H31" s="6" t="s">
        <v>165</v>
      </c>
      <c r="I31" s="6" t="s">
        <v>165</v>
      </c>
      <c r="J31" s="28" t="s">
        <v>27</v>
      </c>
      <c r="K31" s="24" t="s">
        <v>78</v>
      </c>
      <c r="L31" s="24" t="s">
        <v>130</v>
      </c>
      <c r="M31" s="6" t="s">
        <v>167</v>
      </c>
      <c r="N31" s="25" t="s">
        <v>167</v>
      </c>
    </row>
    <row r="32" spans="1:14" ht="63.75">
      <c r="A32" s="128"/>
      <c r="B32" s="102" t="s">
        <v>4</v>
      </c>
      <c r="C32" s="105" t="s">
        <v>175</v>
      </c>
      <c r="D32" s="102" t="s">
        <v>162</v>
      </c>
      <c r="E32" s="32" t="s">
        <v>171</v>
      </c>
      <c r="F32" s="35" t="s">
        <v>156</v>
      </c>
      <c r="G32" s="13" t="s">
        <v>170</v>
      </c>
      <c r="H32" s="13" t="s">
        <v>165</v>
      </c>
      <c r="I32" s="13" t="s">
        <v>160</v>
      </c>
      <c r="J32" s="13" t="s">
        <v>27</v>
      </c>
      <c r="K32" s="13" t="s">
        <v>78</v>
      </c>
      <c r="L32" s="13" t="s">
        <v>167</v>
      </c>
      <c r="M32" s="13" t="s">
        <v>167</v>
      </c>
      <c r="N32" s="34" t="s">
        <v>65</v>
      </c>
    </row>
  </sheetData>
  <autoFilter ref="A2:A28" xr:uid="{1B3B6AB7-C965-42AE-8D3E-38BCD8C2554C}"/>
  <mergeCells count="6">
    <mergeCell ref="A28:A32"/>
    <mergeCell ref="A3:A7"/>
    <mergeCell ref="A8:A12"/>
    <mergeCell ref="A13:A17"/>
    <mergeCell ref="A18:A22"/>
    <mergeCell ref="A23:A2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7E24-9C98-4524-9ECD-49A2F5DD6614}">
  <dimension ref="A1:N12"/>
  <sheetViews>
    <sheetView showGridLines="0" zoomScaleNormal="100" workbookViewId="0">
      <pane xSplit="1" ySplit="1" topLeftCell="C2" activePane="bottomRight" state="frozen"/>
      <selection pane="bottomRight" activeCell="F8" sqref="F8"/>
      <selection pane="bottomLeft"/>
      <selection pane="topRight"/>
    </sheetView>
  </sheetViews>
  <sheetFormatPr defaultColWidth="57.125" defaultRowHeight="12"/>
  <cols>
    <col min="1" max="1" width="6.875" style="11" bestFit="1" customWidth="1"/>
    <col min="2" max="2" width="26.625" style="11" customWidth="1"/>
    <col min="3" max="3" width="21.875" style="11" customWidth="1"/>
    <col min="4" max="4" width="15.875" style="11" customWidth="1"/>
    <col min="5" max="5" width="16.25" style="11" customWidth="1"/>
    <col min="6" max="6" width="17" style="11" customWidth="1"/>
    <col min="7" max="7" width="16.375" style="11" customWidth="1"/>
    <col min="8" max="8" width="16.25" style="11" customWidth="1"/>
    <col min="9" max="9" width="19.5" style="11" customWidth="1"/>
    <col min="10" max="10" width="27.875" style="11" customWidth="1"/>
    <col min="11" max="16384" width="57.125" style="11"/>
  </cols>
  <sheetData>
    <row r="1" spans="1:14" s="7" customFormat="1" ht="15">
      <c r="A1" s="9" t="s">
        <v>0</v>
      </c>
      <c r="B1" s="19">
        <v>46209</v>
      </c>
      <c r="C1" s="19">
        <f t="shared" ref="C1:N1" si="0">B1+7</f>
        <v>46216</v>
      </c>
      <c r="D1" s="19">
        <f t="shared" si="0"/>
        <v>46223</v>
      </c>
      <c r="E1" s="19">
        <f t="shared" si="0"/>
        <v>46230</v>
      </c>
      <c r="F1" s="19">
        <f t="shared" si="0"/>
        <v>46237</v>
      </c>
      <c r="G1" s="19">
        <f t="shared" si="0"/>
        <v>46244</v>
      </c>
      <c r="H1" s="19">
        <f t="shared" si="0"/>
        <v>46251</v>
      </c>
      <c r="I1" s="19">
        <f t="shared" si="0"/>
        <v>46258</v>
      </c>
      <c r="J1" s="19">
        <f t="shared" si="0"/>
        <v>46265</v>
      </c>
      <c r="K1" s="19">
        <f t="shared" si="0"/>
        <v>46272</v>
      </c>
      <c r="L1" s="19">
        <f t="shared" si="0"/>
        <v>46279</v>
      </c>
      <c r="M1" s="19">
        <f t="shared" si="0"/>
        <v>46286</v>
      </c>
      <c r="N1" s="19">
        <f t="shared" si="0"/>
        <v>46293</v>
      </c>
    </row>
    <row r="2" spans="1:14" s="7" customFormat="1" ht="15">
      <c r="A2" s="10" t="s">
        <v>1</v>
      </c>
      <c r="B2" s="17">
        <v>46213</v>
      </c>
      <c r="C2" s="17">
        <f t="shared" ref="C2:N2" si="1">C1+4</f>
        <v>46220</v>
      </c>
      <c r="D2" s="17">
        <f t="shared" si="1"/>
        <v>46227</v>
      </c>
      <c r="E2" s="17">
        <f t="shared" si="1"/>
        <v>46234</v>
      </c>
      <c r="F2" s="17">
        <f t="shared" si="1"/>
        <v>46241</v>
      </c>
      <c r="G2" s="17">
        <f t="shared" si="1"/>
        <v>46248</v>
      </c>
      <c r="H2" s="17">
        <f t="shared" si="1"/>
        <v>46255</v>
      </c>
      <c r="I2" s="17">
        <f t="shared" si="1"/>
        <v>46262</v>
      </c>
      <c r="J2" s="17">
        <f t="shared" si="1"/>
        <v>46269</v>
      </c>
      <c r="K2" s="17">
        <f t="shared" si="1"/>
        <v>46276</v>
      </c>
      <c r="L2" s="17">
        <f t="shared" si="1"/>
        <v>46283</v>
      </c>
      <c r="M2" s="17">
        <f t="shared" si="1"/>
        <v>46290</v>
      </c>
      <c r="N2" s="17">
        <f t="shared" si="1"/>
        <v>46297</v>
      </c>
    </row>
    <row r="3" spans="1:14" s="7" customFormat="1" ht="25.5">
      <c r="A3" s="142" t="s">
        <v>176</v>
      </c>
      <c r="B3" s="12" t="s">
        <v>4</v>
      </c>
      <c r="C3" s="12" t="s">
        <v>4</v>
      </c>
      <c r="D3" s="12" t="s">
        <v>177</v>
      </c>
      <c r="E3" s="12" t="s">
        <v>177</v>
      </c>
      <c r="F3" s="12" t="s">
        <v>177</v>
      </c>
      <c r="G3" s="27" t="s">
        <v>178</v>
      </c>
      <c r="H3" s="12" t="s">
        <v>179</v>
      </c>
      <c r="I3" s="22"/>
      <c r="J3" s="12" t="s">
        <v>30</v>
      </c>
      <c r="K3" s="27"/>
      <c r="L3" s="12"/>
      <c r="M3" s="27"/>
      <c r="N3" s="30"/>
    </row>
    <row r="4" spans="1:14" s="7" customFormat="1" ht="38.25">
      <c r="A4" s="143"/>
      <c r="B4" s="6" t="s">
        <v>4</v>
      </c>
      <c r="C4" s="6" t="s">
        <v>4</v>
      </c>
      <c r="D4" s="6" t="s">
        <v>177</v>
      </c>
      <c r="E4" s="6" t="s">
        <v>177</v>
      </c>
      <c r="F4" s="6" t="s">
        <v>177</v>
      </c>
      <c r="G4" s="24" t="s">
        <v>178</v>
      </c>
      <c r="H4" s="6" t="s">
        <v>180</v>
      </c>
      <c r="I4" s="6"/>
      <c r="J4" s="6"/>
      <c r="K4" s="24"/>
      <c r="L4" s="14"/>
      <c r="M4" s="6"/>
      <c r="N4" s="31"/>
    </row>
    <row r="5" spans="1:14" s="7" customFormat="1" ht="25.5">
      <c r="A5" s="143"/>
      <c r="B5" s="6" t="s">
        <v>4</v>
      </c>
      <c r="C5" s="6" t="s">
        <v>4</v>
      </c>
      <c r="D5" s="6" t="s">
        <v>177</v>
      </c>
      <c r="E5" s="6" t="s">
        <v>177</v>
      </c>
      <c r="F5" s="6" t="s">
        <v>177</v>
      </c>
      <c r="G5" s="6" t="s">
        <v>178</v>
      </c>
      <c r="H5" s="24"/>
      <c r="I5" s="15"/>
      <c r="J5" s="15"/>
      <c r="K5" s="6"/>
      <c r="L5" s="6" t="s">
        <v>18</v>
      </c>
      <c r="M5" s="6"/>
      <c r="N5" s="31"/>
    </row>
    <row r="6" spans="1:14" s="7" customFormat="1" ht="25.5">
      <c r="A6" s="143"/>
      <c r="B6" s="6" t="s">
        <v>181</v>
      </c>
      <c r="C6" s="8" t="s">
        <v>181</v>
      </c>
      <c r="D6" s="6" t="s">
        <v>177</v>
      </c>
      <c r="E6" s="6" t="s">
        <v>177</v>
      </c>
      <c r="F6" s="6" t="s">
        <v>177</v>
      </c>
      <c r="G6" s="6" t="s">
        <v>178</v>
      </c>
      <c r="H6" s="6"/>
      <c r="I6" s="28"/>
      <c r="J6" s="28"/>
      <c r="K6" s="24"/>
      <c r="L6" s="24" t="s">
        <v>18</v>
      </c>
      <c r="M6" s="6"/>
      <c r="N6" s="25"/>
    </row>
    <row r="7" spans="1:14" s="7" customFormat="1" ht="12.75">
      <c r="A7" s="144"/>
      <c r="B7" s="37" t="s">
        <v>182</v>
      </c>
      <c r="C7" s="37" t="s">
        <v>182</v>
      </c>
      <c r="D7" s="37" t="s">
        <v>182</v>
      </c>
      <c r="E7" s="38" t="s">
        <v>182</v>
      </c>
      <c r="F7" s="37" t="s">
        <v>182</v>
      </c>
      <c r="G7" s="37" t="s">
        <v>182</v>
      </c>
      <c r="H7" s="37" t="s">
        <v>182</v>
      </c>
      <c r="I7" s="37" t="s">
        <v>182</v>
      </c>
      <c r="J7" s="37" t="s">
        <v>182</v>
      </c>
      <c r="K7" s="37" t="s">
        <v>182</v>
      </c>
      <c r="L7" s="37" t="s">
        <v>182</v>
      </c>
      <c r="M7" s="37" t="s">
        <v>182</v>
      </c>
      <c r="N7" s="39" t="s">
        <v>182</v>
      </c>
    </row>
    <row r="8" spans="1:14" s="7" customFormat="1" ht="38.25">
      <c r="A8" s="135" t="s">
        <v>183</v>
      </c>
      <c r="B8" s="12" t="s">
        <v>4</v>
      </c>
      <c r="C8" s="12" t="s">
        <v>4</v>
      </c>
      <c r="D8" s="12" t="s">
        <v>4</v>
      </c>
      <c r="E8" s="27" t="s">
        <v>184</v>
      </c>
      <c r="F8" s="104" t="s">
        <v>184</v>
      </c>
      <c r="G8" s="27" t="s">
        <v>185</v>
      </c>
      <c r="H8" s="27" t="s">
        <v>185</v>
      </c>
      <c r="I8" s="27" t="s">
        <v>186</v>
      </c>
      <c r="J8" s="12" t="s">
        <v>187</v>
      </c>
      <c r="K8" s="12" t="s">
        <v>187</v>
      </c>
      <c r="L8" s="12" t="s">
        <v>65</v>
      </c>
      <c r="M8" s="27" t="s">
        <v>78</v>
      </c>
      <c r="N8" s="30" t="s">
        <v>188</v>
      </c>
    </row>
    <row r="9" spans="1:14" s="7" customFormat="1" ht="38.25">
      <c r="A9" s="136"/>
      <c r="B9" s="6" t="s">
        <v>4</v>
      </c>
      <c r="C9" s="6" t="s">
        <v>4</v>
      </c>
      <c r="D9" s="6" t="s">
        <v>4</v>
      </c>
      <c r="E9" s="24" t="s">
        <v>184</v>
      </c>
      <c r="F9" s="6" t="s">
        <v>185</v>
      </c>
      <c r="G9" s="24" t="s">
        <v>185</v>
      </c>
      <c r="H9" s="24" t="s">
        <v>185</v>
      </c>
      <c r="I9" s="6" t="s">
        <v>186</v>
      </c>
      <c r="J9" s="6" t="s">
        <v>187</v>
      </c>
      <c r="K9" s="6" t="s">
        <v>187</v>
      </c>
      <c r="L9" s="14" t="s">
        <v>189</v>
      </c>
      <c r="M9" s="6" t="s">
        <v>189</v>
      </c>
      <c r="N9" s="31" t="s">
        <v>188</v>
      </c>
    </row>
    <row r="10" spans="1:14" s="7" customFormat="1" ht="38.25">
      <c r="A10" s="136"/>
      <c r="B10" s="6" t="s">
        <v>4</v>
      </c>
      <c r="C10" s="6" t="s">
        <v>4</v>
      </c>
      <c r="D10" s="6" t="s">
        <v>4</v>
      </c>
      <c r="E10" s="24" t="s">
        <v>184</v>
      </c>
      <c r="F10" s="6" t="s">
        <v>185</v>
      </c>
      <c r="G10" s="6" t="s">
        <v>185</v>
      </c>
      <c r="H10" s="6" t="s">
        <v>185</v>
      </c>
      <c r="I10" s="15" t="s">
        <v>186</v>
      </c>
      <c r="J10" s="15" t="s">
        <v>187</v>
      </c>
      <c r="K10" s="15" t="s">
        <v>187</v>
      </c>
      <c r="L10" s="6" t="s">
        <v>18</v>
      </c>
      <c r="M10" s="6" t="s">
        <v>189</v>
      </c>
      <c r="N10" s="31" t="s">
        <v>188</v>
      </c>
    </row>
    <row r="11" spans="1:14" ht="38.25">
      <c r="A11" s="136"/>
      <c r="B11" s="6" t="s">
        <v>4</v>
      </c>
      <c r="C11" s="8" t="s">
        <v>181</v>
      </c>
      <c r="D11" s="6" t="s">
        <v>184</v>
      </c>
      <c r="E11" s="24" t="s">
        <v>184</v>
      </c>
      <c r="F11" s="24" t="s">
        <v>185</v>
      </c>
      <c r="G11" s="6" t="s">
        <v>185</v>
      </c>
      <c r="H11" s="6" t="s">
        <v>185</v>
      </c>
      <c r="I11" s="28" t="s">
        <v>186</v>
      </c>
      <c r="J11" s="28" t="s">
        <v>187</v>
      </c>
      <c r="K11" s="28" t="s">
        <v>187</v>
      </c>
      <c r="L11" s="24" t="s">
        <v>18</v>
      </c>
      <c r="M11" s="6" t="s">
        <v>17</v>
      </c>
      <c r="N11" s="25" t="s">
        <v>188</v>
      </c>
    </row>
    <row r="12" spans="1:14" ht="46.5" customHeight="1">
      <c r="A12" s="145"/>
      <c r="B12" s="13" t="s">
        <v>4</v>
      </c>
      <c r="C12" s="13" t="s">
        <v>4</v>
      </c>
      <c r="D12" s="13" t="s">
        <v>184</v>
      </c>
      <c r="E12" s="32" t="s">
        <v>184</v>
      </c>
      <c r="F12" s="32" t="s">
        <v>185</v>
      </c>
      <c r="G12" s="13" t="s">
        <v>185</v>
      </c>
      <c r="H12" s="13" t="s">
        <v>185</v>
      </c>
      <c r="I12" s="13" t="s">
        <v>186</v>
      </c>
      <c r="J12" s="13" t="s">
        <v>187</v>
      </c>
      <c r="K12" s="13" t="s">
        <v>187</v>
      </c>
      <c r="L12" s="35" t="s">
        <v>78</v>
      </c>
      <c r="M12" s="13" t="s">
        <v>189</v>
      </c>
      <c r="N12" s="34" t="s">
        <v>65</v>
      </c>
    </row>
  </sheetData>
  <mergeCells count="2">
    <mergeCell ref="A3:A7"/>
    <mergeCell ref="A8:A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4ED6-414C-4618-9A0A-9440E82BBFBD}">
  <dimension ref="A1:N7"/>
  <sheetViews>
    <sheetView workbookViewId="0">
      <selection activeCell="H10" sqref="H10"/>
    </sheetView>
  </sheetViews>
  <sheetFormatPr defaultRowHeight="15.75"/>
  <cols>
    <col min="2" max="2" width="28.125" customWidth="1"/>
    <col min="3" max="3" width="21.875" customWidth="1"/>
    <col min="4" max="4" width="24.5" customWidth="1"/>
    <col min="5" max="5" width="32.125" customWidth="1"/>
    <col min="6" max="6" width="21.875" customWidth="1"/>
    <col min="7" max="8" width="14" customWidth="1"/>
    <col min="9" max="9" width="20.375" customWidth="1"/>
    <col min="10" max="11" width="14" customWidth="1"/>
    <col min="12" max="12" width="19.25" customWidth="1"/>
    <col min="13" max="13" width="20.375" customWidth="1"/>
  </cols>
  <sheetData>
    <row r="1" spans="1:14">
      <c r="A1" s="4" t="s">
        <v>0</v>
      </c>
      <c r="B1" s="19">
        <v>46209</v>
      </c>
      <c r="C1" s="19">
        <f t="shared" ref="C1:N1" si="0">B1+7</f>
        <v>46216</v>
      </c>
      <c r="D1" s="19">
        <f t="shared" si="0"/>
        <v>46223</v>
      </c>
      <c r="E1" s="19">
        <f t="shared" si="0"/>
        <v>46230</v>
      </c>
      <c r="F1" s="19">
        <f t="shared" si="0"/>
        <v>46237</v>
      </c>
      <c r="G1" s="19">
        <f t="shared" si="0"/>
        <v>46244</v>
      </c>
      <c r="H1" s="19">
        <f t="shared" si="0"/>
        <v>46251</v>
      </c>
      <c r="I1" s="19">
        <f t="shared" si="0"/>
        <v>46258</v>
      </c>
      <c r="J1" s="19">
        <f t="shared" si="0"/>
        <v>46265</v>
      </c>
      <c r="K1" s="19">
        <f t="shared" si="0"/>
        <v>46272</v>
      </c>
      <c r="L1" s="19">
        <f t="shared" si="0"/>
        <v>46279</v>
      </c>
      <c r="M1" s="19">
        <f t="shared" si="0"/>
        <v>46286</v>
      </c>
      <c r="N1" s="19">
        <f t="shared" si="0"/>
        <v>46293</v>
      </c>
    </row>
    <row r="2" spans="1:14">
      <c r="A2" s="5" t="s">
        <v>1</v>
      </c>
      <c r="B2" s="17">
        <v>46213</v>
      </c>
      <c r="C2" s="17">
        <f t="shared" ref="C2:N2" si="1">C1+4</f>
        <v>46220</v>
      </c>
      <c r="D2" s="17">
        <f t="shared" si="1"/>
        <v>46227</v>
      </c>
      <c r="E2" s="17">
        <f t="shared" si="1"/>
        <v>46234</v>
      </c>
      <c r="F2" s="17">
        <f t="shared" si="1"/>
        <v>46241</v>
      </c>
      <c r="G2" s="17">
        <f t="shared" si="1"/>
        <v>46248</v>
      </c>
      <c r="H2" s="17">
        <f t="shared" si="1"/>
        <v>46255</v>
      </c>
      <c r="I2" s="17">
        <f t="shared" si="1"/>
        <v>46262</v>
      </c>
      <c r="J2" s="17">
        <f t="shared" si="1"/>
        <v>46269</v>
      </c>
      <c r="K2" s="17">
        <f t="shared" si="1"/>
        <v>46276</v>
      </c>
      <c r="L2" s="17">
        <f t="shared" si="1"/>
        <v>46283</v>
      </c>
      <c r="M2" s="17">
        <f t="shared" si="1"/>
        <v>46290</v>
      </c>
      <c r="N2" s="17">
        <f t="shared" si="1"/>
        <v>46297</v>
      </c>
    </row>
    <row r="3" spans="1:14" ht="63.75">
      <c r="A3" s="146" t="s">
        <v>190</v>
      </c>
      <c r="B3" s="87" t="s">
        <v>191</v>
      </c>
      <c r="C3" s="87" t="s">
        <v>191</v>
      </c>
      <c r="D3" s="12" t="s">
        <v>192</v>
      </c>
      <c r="E3" s="27" t="s">
        <v>193</v>
      </c>
      <c r="F3" s="12" t="s">
        <v>194</v>
      </c>
      <c r="G3" s="27"/>
      <c r="H3" s="12"/>
      <c r="I3" s="22"/>
      <c r="J3" s="12"/>
      <c r="K3" s="27"/>
      <c r="L3" s="12" t="s">
        <v>65</v>
      </c>
      <c r="M3" s="27"/>
      <c r="N3" s="30"/>
    </row>
    <row r="4" spans="1:14" ht="63.75">
      <c r="A4" s="147"/>
      <c r="B4" s="88" t="s">
        <v>191</v>
      </c>
      <c r="C4" s="88" t="s">
        <v>191</v>
      </c>
      <c r="D4" s="6" t="s">
        <v>195</v>
      </c>
      <c r="E4" s="24" t="s">
        <v>193</v>
      </c>
      <c r="F4" s="6" t="s">
        <v>196</v>
      </c>
      <c r="G4" s="24"/>
      <c r="H4" s="6"/>
      <c r="I4" s="6"/>
      <c r="J4" s="6"/>
      <c r="K4" s="24"/>
      <c r="L4" s="14"/>
      <c r="M4" s="6"/>
      <c r="N4" s="31"/>
    </row>
    <row r="5" spans="1:14" ht="76.5">
      <c r="A5" s="147"/>
      <c r="B5" s="88" t="s">
        <v>191</v>
      </c>
      <c r="C5" s="56" t="s">
        <v>197</v>
      </c>
      <c r="D5" s="6" t="s">
        <v>195</v>
      </c>
      <c r="E5" s="24" t="s">
        <v>198</v>
      </c>
      <c r="F5" s="6" t="s">
        <v>199</v>
      </c>
      <c r="G5" s="6"/>
      <c r="H5" s="24"/>
      <c r="I5" s="15"/>
      <c r="J5" s="15"/>
      <c r="K5" s="6"/>
      <c r="L5" s="6"/>
      <c r="M5" s="6"/>
      <c r="N5" s="31"/>
    </row>
    <row r="6" spans="1:14" ht="38.25">
      <c r="A6" s="147"/>
      <c r="B6" s="88" t="s">
        <v>191</v>
      </c>
      <c r="C6" s="86" t="s">
        <v>200</v>
      </c>
      <c r="D6" s="6" t="s">
        <v>201</v>
      </c>
      <c r="E6" s="24" t="s">
        <v>202</v>
      </c>
      <c r="F6" s="20"/>
      <c r="G6" s="6"/>
      <c r="H6" s="6"/>
      <c r="I6" s="28"/>
      <c r="J6" s="28"/>
      <c r="K6" s="24"/>
      <c r="L6" s="24"/>
      <c r="M6" s="6"/>
      <c r="N6" s="25"/>
    </row>
    <row r="7" spans="1:14" ht="38.25">
      <c r="A7" s="148"/>
      <c r="B7" s="89" t="s">
        <v>191</v>
      </c>
      <c r="C7" s="23" t="s">
        <v>203</v>
      </c>
      <c r="D7" s="13" t="s">
        <v>193</v>
      </c>
      <c r="E7" s="76" t="s">
        <v>202</v>
      </c>
      <c r="F7" s="21"/>
      <c r="G7" s="13"/>
      <c r="H7" s="13"/>
      <c r="I7" s="13"/>
      <c r="J7" s="13"/>
      <c r="K7" s="13"/>
      <c r="L7" s="23"/>
      <c r="M7" s="13"/>
      <c r="N7" s="34" t="s">
        <v>65</v>
      </c>
    </row>
  </sheetData>
  <mergeCells count="1">
    <mergeCell ref="A3:A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0E1E-AD43-4477-88BC-77F907ECF499}">
  <dimension ref="B1:F24"/>
  <sheetViews>
    <sheetView workbookViewId="0">
      <selection activeCell="G32" sqref="G32"/>
    </sheetView>
  </sheetViews>
  <sheetFormatPr defaultColWidth="32.75" defaultRowHeight="15.75"/>
  <cols>
    <col min="1" max="1" width="6.25" customWidth="1"/>
    <col min="2" max="2" width="14" bestFit="1" customWidth="1"/>
    <col min="3" max="3" width="8.875" bestFit="1" customWidth="1"/>
    <col min="5" max="5" width="17.625" style="61" bestFit="1" customWidth="1"/>
    <col min="6" max="6" width="18.25" bestFit="1" customWidth="1"/>
  </cols>
  <sheetData>
    <row r="1" spans="2:6">
      <c r="B1" t="s">
        <v>204</v>
      </c>
    </row>
    <row r="3" spans="2:6" s="61" customFormat="1">
      <c r="B3" s="74" t="s">
        <v>205</v>
      </c>
      <c r="C3" s="74" t="s">
        <v>1</v>
      </c>
      <c r="D3" s="74" t="s">
        <v>206</v>
      </c>
      <c r="E3" s="74" t="s">
        <v>207</v>
      </c>
      <c r="F3" s="74" t="s">
        <v>208</v>
      </c>
    </row>
    <row r="4" spans="2:6">
      <c r="B4" s="63" t="s">
        <v>209</v>
      </c>
      <c r="C4" s="64" t="s">
        <v>183</v>
      </c>
      <c r="D4" s="65">
        <v>46232</v>
      </c>
      <c r="E4" s="66" t="s">
        <v>0</v>
      </c>
      <c r="F4" s="67" t="s">
        <v>0</v>
      </c>
    </row>
    <row r="5" spans="2:6">
      <c r="B5" s="107" t="s">
        <v>209</v>
      </c>
      <c r="C5" s="108" t="s">
        <v>176</v>
      </c>
      <c r="D5" s="109">
        <v>46231</v>
      </c>
      <c r="E5" s="109">
        <v>46231</v>
      </c>
      <c r="F5" s="110" t="s">
        <v>0</v>
      </c>
    </row>
    <row r="6" spans="2:6">
      <c r="B6" s="63" t="s">
        <v>210</v>
      </c>
      <c r="C6" s="64" t="s">
        <v>190</v>
      </c>
      <c r="D6" s="65">
        <v>46233</v>
      </c>
      <c r="E6" s="66" t="s">
        <v>0</v>
      </c>
      <c r="F6" s="67" t="s">
        <v>0</v>
      </c>
    </row>
    <row r="7" spans="2:6">
      <c r="B7" s="68" t="s">
        <v>211</v>
      </c>
      <c r="C7" s="69" t="s">
        <v>80</v>
      </c>
      <c r="D7" s="70" t="s">
        <v>212</v>
      </c>
      <c r="E7" s="71">
        <v>46216</v>
      </c>
      <c r="F7" s="70" t="s">
        <v>213</v>
      </c>
    </row>
    <row r="8" spans="2:6">
      <c r="B8" s="68" t="s">
        <v>211</v>
      </c>
      <c r="C8" s="69" t="s">
        <v>91</v>
      </c>
      <c r="D8" s="71">
        <v>46217</v>
      </c>
      <c r="E8" s="71">
        <v>46230</v>
      </c>
      <c r="F8" s="67" t="s">
        <v>0</v>
      </c>
    </row>
    <row r="9" spans="2:6">
      <c r="B9" s="68" t="s">
        <v>211</v>
      </c>
      <c r="C9" s="72" t="s">
        <v>214</v>
      </c>
      <c r="D9" s="70" t="s">
        <v>212</v>
      </c>
      <c r="E9" s="71">
        <v>46218</v>
      </c>
      <c r="F9" s="67" t="s">
        <v>215</v>
      </c>
    </row>
    <row r="10" spans="2:6">
      <c r="B10" s="68" t="s">
        <v>211</v>
      </c>
      <c r="C10" s="69" t="s">
        <v>112</v>
      </c>
      <c r="D10" s="71">
        <v>46213</v>
      </c>
      <c r="E10" s="71">
        <v>46230</v>
      </c>
      <c r="F10" s="67" t="s">
        <v>0</v>
      </c>
    </row>
    <row r="11" spans="2:6">
      <c r="B11" s="68" t="s">
        <v>211</v>
      </c>
      <c r="C11" s="69" t="s">
        <v>107</v>
      </c>
      <c r="D11" s="71">
        <v>46224</v>
      </c>
      <c r="E11" s="71">
        <v>46230</v>
      </c>
      <c r="F11" s="67" t="s">
        <v>0</v>
      </c>
    </row>
    <row r="12" spans="2:6">
      <c r="B12" s="68" t="s">
        <v>211</v>
      </c>
      <c r="C12" s="69" t="s">
        <v>117</v>
      </c>
      <c r="D12" s="71">
        <v>46225</v>
      </c>
      <c r="E12" s="71">
        <v>46230</v>
      </c>
      <c r="F12" s="67" t="s">
        <v>0</v>
      </c>
    </row>
    <row r="13" spans="2:6">
      <c r="B13" s="68" t="s">
        <v>216</v>
      </c>
      <c r="C13" s="69" t="s">
        <v>37</v>
      </c>
      <c r="D13" s="71">
        <v>46218</v>
      </c>
      <c r="E13" s="71">
        <v>46223</v>
      </c>
      <c r="F13" s="70" t="s">
        <v>213</v>
      </c>
    </row>
    <row r="14" spans="2:6">
      <c r="B14" s="68" t="s">
        <v>216</v>
      </c>
      <c r="C14" s="69" t="s">
        <v>50</v>
      </c>
      <c r="D14" s="70" t="s">
        <v>212</v>
      </c>
      <c r="E14" s="71">
        <v>46223</v>
      </c>
      <c r="F14" s="70" t="s">
        <v>213</v>
      </c>
    </row>
    <row r="15" spans="2:6">
      <c r="B15" s="68" t="s">
        <v>216</v>
      </c>
      <c r="C15" s="69" t="s">
        <v>2</v>
      </c>
      <c r="D15" s="71">
        <v>46225</v>
      </c>
      <c r="E15" s="71">
        <v>46225</v>
      </c>
      <c r="F15" s="67" t="s">
        <v>215</v>
      </c>
    </row>
    <row r="16" spans="2:6">
      <c r="B16" s="68" t="s">
        <v>216</v>
      </c>
      <c r="C16" s="69" t="s">
        <v>23</v>
      </c>
      <c r="D16" s="71">
        <v>46225</v>
      </c>
      <c r="E16" s="71">
        <v>46225</v>
      </c>
      <c r="F16" s="70" t="s">
        <v>213</v>
      </c>
    </row>
    <row r="17" spans="2:6">
      <c r="B17" s="68" t="s">
        <v>216</v>
      </c>
      <c r="C17" s="69" t="s">
        <v>49</v>
      </c>
      <c r="D17" s="71">
        <v>46226</v>
      </c>
      <c r="E17" s="71">
        <v>46226</v>
      </c>
      <c r="F17" s="67" t="s">
        <v>215</v>
      </c>
    </row>
    <row r="18" spans="2:6">
      <c r="B18" s="68" t="s">
        <v>216</v>
      </c>
      <c r="C18" s="69" t="s">
        <v>57</v>
      </c>
      <c r="D18" s="71">
        <v>46223</v>
      </c>
      <c r="E18" s="71">
        <v>46223</v>
      </c>
      <c r="F18" s="70" t="s">
        <v>213</v>
      </c>
    </row>
    <row r="19" spans="2:6">
      <c r="B19" s="68" t="s">
        <v>217</v>
      </c>
      <c r="C19" s="69" t="s">
        <v>136</v>
      </c>
      <c r="D19" s="70" t="s">
        <v>212</v>
      </c>
      <c r="E19" s="71">
        <v>46219</v>
      </c>
      <c r="F19" s="67" t="s">
        <v>215</v>
      </c>
    </row>
    <row r="20" spans="2:6">
      <c r="B20" s="68" t="s">
        <v>217</v>
      </c>
      <c r="C20" s="69" t="s">
        <v>218</v>
      </c>
      <c r="D20" s="70" t="s">
        <v>212</v>
      </c>
      <c r="E20" s="71">
        <v>46223</v>
      </c>
      <c r="F20" s="67" t="s">
        <v>215</v>
      </c>
    </row>
    <row r="21" spans="2:6">
      <c r="B21" s="68" t="s">
        <v>217</v>
      </c>
      <c r="C21" s="69" t="s">
        <v>161</v>
      </c>
      <c r="D21" s="70" t="s">
        <v>212</v>
      </c>
      <c r="E21" s="71">
        <v>46216</v>
      </c>
      <c r="F21" s="70" t="s">
        <v>213</v>
      </c>
    </row>
    <row r="22" spans="2:6">
      <c r="B22" s="68" t="s">
        <v>217</v>
      </c>
      <c r="C22" s="69" t="s">
        <v>119</v>
      </c>
      <c r="D22" s="73">
        <v>46220</v>
      </c>
      <c r="E22" s="71">
        <v>46223</v>
      </c>
      <c r="F22" s="67" t="s">
        <v>215</v>
      </c>
    </row>
    <row r="23" spans="2:6">
      <c r="B23" s="68" t="s">
        <v>217</v>
      </c>
      <c r="C23" s="69" t="s">
        <v>126</v>
      </c>
      <c r="D23" s="73">
        <v>46220</v>
      </c>
      <c r="E23" s="71">
        <v>46223</v>
      </c>
      <c r="F23" s="67" t="s">
        <v>215</v>
      </c>
    </row>
    <row r="24" spans="2:6">
      <c r="B24" s="68" t="s">
        <v>217</v>
      </c>
      <c r="C24" s="69" t="s">
        <v>146</v>
      </c>
      <c r="D24" s="70" t="s">
        <v>212</v>
      </c>
      <c r="E24" s="71">
        <v>46230</v>
      </c>
      <c r="F24" s="70" t="s">
        <v>213</v>
      </c>
    </row>
  </sheetData>
  <autoFilter ref="B3:F24" xr:uid="{E6000E1E-AD43-4477-88BC-77F907ECF49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2EA0-0FB1-40D6-BE06-2DE4FDD67D50}">
  <dimension ref="B1:H11"/>
  <sheetViews>
    <sheetView workbookViewId="0">
      <selection activeCell="G2" sqref="G2"/>
    </sheetView>
  </sheetViews>
  <sheetFormatPr defaultRowHeight="15.75"/>
  <cols>
    <col min="2" max="2" width="18.75" bestFit="1" customWidth="1"/>
    <col min="3" max="3" width="16.625" bestFit="1" customWidth="1"/>
    <col min="7" max="7" width="23.125" bestFit="1" customWidth="1"/>
    <col min="8" max="8" width="30.625" bestFit="1" customWidth="1"/>
  </cols>
  <sheetData>
    <row r="1" spans="2:8">
      <c r="B1" s="48" t="s">
        <v>219</v>
      </c>
      <c r="G1" s="48" t="s">
        <v>220</v>
      </c>
    </row>
    <row r="2" spans="2:8">
      <c r="B2" s="49" t="s">
        <v>221</v>
      </c>
      <c r="C2" s="49" t="s">
        <v>222</v>
      </c>
      <c r="G2" s="49" t="s">
        <v>223</v>
      </c>
      <c r="H2" s="49" t="s">
        <v>224</v>
      </c>
    </row>
    <row r="3" spans="2:8">
      <c r="B3" s="50" t="s">
        <v>225</v>
      </c>
      <c r="C3" s="50" t="s">
        <v>226</v>
      </c>
      <c r="G3" s="50" t="s">
        <v>227</v>
      </c>
      <c r="H3" s="50" t="s">
        <v>228</v>
      </c>
    </row>
    <row r="4" spans="2:8">
      <c r="B4" s="50" t="s">
        <v>225</v>
      </c>
      <c r="C4" s="50" t="s">
        <v>229</v>
      </c>
      <c r="G4" s="50" t="s">
        <v>230</v>
      </c>
      <c r="H4" s="50" t="s">
        <v>231</v>
      </c>
    </row>
    <row r="5" spans="2:8">
      <c r="B5" s="50" t="s">
        <v>232</v>
      </c>
      <c r="C5" s="50" t="s">
        <v>233</v>
      </c>
      <c r="G5" s="50" t="s">
        <v>234</v>
      </c>
      <c r="H5" s="50" t="s">
        <v>235</v>
      </c>
    </row>
    <row r="6" spans="2:8">
      <c r="B6" s="50" t="s">
        <v>232</v>
      </c>
      <c r="C6" s="50" t="s">
        <v>236</v>
      </c>
      <c r="G6" s="50" t="s">
        <v>237</v>
      </c>
      <c r="H6" s="50" t="s">
        <v>238</v>
      </c>
    </row>
    <row r="7" spans="2:8">
      <c r="B7" s="50" t="s">
        <v>239</v>
      </c>
      <c r="C7" s="50" t="s">
        <v>240</v>
      </c>
      <c r="G7" s="50" t="s">
        <v>241</v>
      </c>
      <c r="H7" s="50" t="s">
        <v>242</v>
      </c>
    </row>
    <row r="8" spans="2:8">
      <c r="B8" s="50" t="s">
        <v>243</v>
      </c>
      <c r="C8" s="50" t="s">
        <v>244</v>
      </c>
      <c r="G8" s="50" t="s">
        <v>245</v>
      </c>
      <c r="H8" s="50" t="s">
        <v>246</v>
      </c>
    </row>
    <row r="9" spans="2:8">
      <c r="G9" s="50" t="s">
        <v>247</v>
      </c>
      <c r="H9" s="50" t="s">
        <v>246</v>
      </c>
    </row>
    <row r="10" spans="2:8">
      <c r="G10" s="50" t="s">
        <v>248</v>
      </c>
      <c r="H10" s="50" t="s">
        <v>249</v>
      </c>
    </row>
    <row r="11" spans="2:8">
      <c r="G11" s="50" t="s">
        <v>250</v>
      </c>
      <c r="H11" s="50" t="s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7A26-29DD-4B47-B831-C72DA4C8D2D0}">
  <dimension ref="A1:H2"/>
  <sheetViews>
    <sheetView workbookViewId="0">
      <selection activeCell="N17" sqref="N17"/>
    </sheetView>
  </sheetViews>
  <sheetFormatPr defaultRowHeight="15.75"/>
  <sheetData>
    <row r="1" spans="1:8">
      <c r="A1" t="s">
        <v>252</v>
      </c>
      <c r="B1" t="s">
        <v>253</v>
      </c>
      <c r="C1" s="5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</row>
    <row r="2" spans="1:8">
      <c r="C2" s="51"/>
    </row>
  </sheetData>
  <dataValidations count="2">
    <dataValidation type="list" allowBlank="1" showInputMessage="1" showErrorMessage="1" sqref="A1:A2" xr:uid="{31986915-19E8-4DE4-BF16-C5143C52E78C}">
      <formula1>"Manager,Mine"</formula1>
    </dataValidation>
    <dataValidation type="list" allowBlank="1" showInputMessage="1" showErrorMessage="1" sqref="F1:F2" xr:uid="{B1DD7255-91B7-42AA-9807-7F71F1C75070}">
      <formula1>"Mapped,Unmapped"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4b6b08d2-6182-4197-8221-8710a9404ced" ContentTypeId="0x0101" PreviousValue="false"/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cludeInSearch xmlns="f085ca05-1a56-417b-bcef-25b3bd9988f8">true</IncludeInSearch>
    <lcf76f155ced4ddcb4097134ff3c332f xmlns="0ed6e3b1-231e-4a9b-886d-f088d5013d7e">
      <Terms xmlns="http://schemas.microsoft.com/office/infopath/2007/PartnerControls"/>
    </lcf76f155ced4ddcb4097134ff3c332f>
    <TaxCatchAll xmlns="11293f1b-b86c-4a54-be7c-56938d31eff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28191DE56C2F4C95716075ACA7ACDF" ma:contentTypeVersion="14" ma:contentTypeDescription="Create a new document." ma:contentTypeScope="" ma:versionID="5dabbd792c9f786364b003242fec88ea">
  <xsd:schema xmlns:xsd="http://www.w3.org/2001/XMLSchema" xmlns:xs="http://www.w3.org/2001/XMLSchema" xmlns:p="http://schemas.microsoft.com/office/2006/metadata/properties" xmlns:ns2="f085ca05-1a56-417b-bcef-25b3bd9988f8" xmlns:ns3="0ed6e3b1-231e-4a9b-886d-f088d5013d7e" xmlns:ns4="11293f1b-b86c-4a54-be7c-56938d31eff3" targetNamespace="http://schemas.microsoft.com/office/2006/metadata/properties" ma:root="true" ma:fieldsID="5032a217c34be2f778cb5f1d934b8554" ns2:_="" ns3:_="" ns4:_="">
    <xsd:import namespace="f085ca05-1a56-417b-bcef-25b3bd9988f8"/>
    <xsd:import namespace="0ed6e3b1-231e-4a9b-886d-f088d5013d7e"/>
    <xsd:import namespace="11293f1b-b86c-4a54-be7c-56938d31eff3"/>
    <xsd:element name="properties">
      <xsd:complexType>
        <xsd:sequence>
          <xsd:element name="documentManagement">
            <xsd:complexType>
              <xsd:all>
                <xsd:element ref="ns2:IncludeInSearc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5ca05-1a56-417b-bcef-25b3bd9988f8" elementFormDefault="qualified">
    <xsd:import namespace="http://schemas.microsoft.com/office/2006/documentManagement/types"/>
    <xsd:import namespace="http://schemas.microsoft.com/office/infopath/2007/PartnerControls"/>
    <xsd:element name="IncludeInSearch" ma:index="8" nillable="true" ma:displayName="IncludeInMyOracleSearch" ma:default="1" ma:internalName="IncludeInSearch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6e3b1-231e-4a9b-886d-f088d5013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b6b08d2-6182-4197-8221-8710a9404c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293f1b-b86c-4a54-be7c-56938d31ef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ed3c199-5f87-4552-a3d6-d8a4d2a485fa}" ma:internalName="TaxCatchAll" ma:showField="CatchAllData" ma:web="11293f1b-b86c-4a54-be7c-56938d31e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9773A7-A01C-4EBB-A2E8-8A20546216E7}"/>
</file>

<file path=customXml/itemProps2.xml><?xml version="1.0" encoding="utf-8"?>
<ds:datastoreItem xmlns:ds="http://schemas.openxmlformats.org/officeDocument/2006/customXml" ds:itemID="{EF922FFD-5231-4BC5-AC53-E845601AC634}"/>
</file>

<file path=customXml/itemProps3.xml><?xml version="1.0" encoding="utf-8"?>
<ds:datastoreItem xmlns:ds="http://schemas.openxmlformats.org/officeDocument/2006/customXml" ds:itemID="{19562AB9-79B7-42F6-88B3-076F77BDB3A4}"/>
</file>

<file path=customXml/itemProps4.xml><?xml version="1.0" encoding="utf-8"?>
<ds:datastoreItem xmlns:ds="http://schemas.openxmlformats.org/officeDocument/2006/customXml" ds:itemID="{260CDCA5-B4D2-4AE4-8EA9-41D8F5FD0A12}"/>
</file>

<file path=customXml/itemProps5.xml><?xml version="1.0" encoding="utf-8"?>
<ds:datastoreItem xmlns:ds="http://schemas.openxmlformats.org/officeDocument/2006/customXml" ds:itemID="{47F7B1DC-D096-4149-A35A-4A94AC08526F}"/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Sujatha Kalahasthi Raju</dc:creator>
  <cp:keywords/>
  <dc:description/>
  <cp:lastModifiedBy/>
  <cp:revision/>
  <dcterms:created xsi:type="dcterms:W3CDTF">2025-07-03T04:03:34Z</dcterms:created>
  <dcterms:modified xsi:type="dcterms:W3CDTF">2026-07-29T14:16:26Z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e43ec-192a-49eb-8e54-baeb8c71bbbe_Enabled">
    <vt:lpwstr>true</vt:lpwstr>
  </property>
  <property fmtid="{D5CDD505-2E9C-101B-9397-08002B2CF9AE}" pid="3" name="MSIP_Label_a4de43ec-192a-49eb-8e54-baeb8c71bbbe_SetDate">
    <vt:lpwstr>2025-07-03T04:04:18Z</vt:lpwstr>
  </property>
  <property fmtid="{D5CDD505-2E9C-101B-9397-08002B2CF9AE}" pid="4" name="MSIP_Label_a4de43ec-192a-49eb-8e54-baeb8c71bbbe_Method">
    <vt:lpwstr>Standard</vt:lpwstr>
  </property>
  <property fmtid="{D5CDD505-2E9C-101B-9397-08002B2CF9AE}" pid="5" name="MSIP_Label_a4de43ec-192a-49eb-8e54-baeb8c71bbbe_Name">
    <vt:lpwstr>Confidential – Oracle Internal</vt:lpwstr>
  </property>
  <property fmtid="{D5CDD505-2E9C-101B-9397-08002B2CF9AE}" pid="6" name="MSIP_Label_a4de43ec-192a-49eb-8e54-baeb8c71bbbe_SiteId">
    <vt:lpwstr>4e2c6054-71cb-48f1-bd6c-3a9705aca71b</vt:lpwstr>
  </property>
  <property fmtid="{D5CDD505-2E9C-101B-9397-08002B2CF9AE}" pid="7" name="MSIP_Label_a4de43ec-192a-49eb-8e54-baeb8c71bbbe_ActionId">
    <vt:lpwstr>49556feb-2e33-4807-b39a-f0799671a7cc</vt:lpwstr>
  </property>
  <property fmtid="{D5CDD505-2E9C-101B-9397-08002B2CF9AE}" pid="8" name="MSIP_Label_a4de43ec-192a-49eb-8e54-baeb8c71bbbe_ContentBits">
    <vt:lpwstr>2</vt:lpwstr>
  </property>
  <property fmtid="{D5CDD505-2E9C-101B-9397-08002B2CF9AE}" pid="9" name="MSIP_Label_a4de43ec-192a-49eb-8e54-baeb8c71bbbe_Tag">
    <vt:lpwstr>50, 3, 0, 1</vt:lpwstr>
  </property>
  <property fmtid="{D5CDD505-2E9C-101B-9397-08002B2CF9AE}" pid="10" name="ContentTypeId">
    <vt:lpwstr>0x0101008F28191DE56C2F4C95716075ACA7ACDF</vt:lpwstr>
  </property>
  <property fmtid="{D5CDD505-2E9C-101B-9397-08002B2CF9AE}" pid="11" name="MediaServiceImageTags">
    <vt:lpwstr/>
  </property>
</Properties>
</file>